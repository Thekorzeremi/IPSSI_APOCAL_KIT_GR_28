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PSSI_25-26\APOCALIPSSI_G28\IPSSI_APOCAL_KIT_GR_28\docs\cadrage\"/>
    </mc:Choice>
  </mc:AlternateContent>
  <bookViews>
    <workbookView xWindow="0" yWindow="0" windowWidth="23040" windowHeight="9072" firstSheet="6" activeTab="10"/>
  </bookViews>
  <sheets>
    <sheet name="Garde" sheetId="1" r:id="rId1"/>
    <sheet name="Identification" sheetId="2" r:id="rId2"/>
    <sheet name="Sprint 1" sheetId="3" r:id="rId3"/>
    <sheet name="Sprint 2" sheetId="6" r:id="rId4"/>
    <sheet name="Sprint 4 J3-Sécu" sheetId="8" r:id="rId5"/>
    <sheet name="Sprint 5 J3-bis RGPD" sheetId="10" r:id="rId6"/>
    <sheet name="Burndown Sprint 1" sheetId="4" r:id="rId7"/>
    <sheet name="Burndown Sprint 2" sheetId="7" r:id="rId8"/>
    <sheet name="Burndown Sprint 4" sheetId="9" r:id="rId9"/>
    <sheet name="Burndown Sprint 5" sheetId="12" r:id="rId10"/>
    <sheet name="Auto-évaluation" sheetId="5" r:id="rId11"/>
  </sheets>
  <calcPr calcId="0"/>
</workbook>
</file>

<file path=xl/sharedStrings.xml><?xml version="1.0" encoding="utf-8"?>
<sst xmlns="http://schemas.openxmlformats.org/spreadsheetml/2006/main" count="550" uniqueCount="275">
  <si>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</si>
  <si>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</si>
  <si>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</si>
  <si>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</si>
  <si>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</si>
  <si>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</si>
  <si>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</si>
  <si>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</si>
  <si>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</si>
  <si>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</si>
  <si>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</si>
  <si>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</si>
  <si>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</si>
  <si>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</si>
  <si>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</si>
  <si>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</si>
  <si>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</si>
  <si>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</si>
  <si>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</si>
  <si>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</si>
  <si>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</si>
  <si>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Sprint 1</t>
  </si>
  <si>
    <t>Date</t>
  </si>
  <si>
    <t>Équipe (n personnes)</t>
  </si>
  <si>
    <t>7 personnes</t>
  </si>
  <si>
    <t>Capacité totale</t>
  </si>
  <si>
    <t>7 × 4 h = 28 h-pers</t>
  </si>
  <si>
    <t>Vélocité cible (SP)</t>
  </si>
  <si>
    <t>Objectif sprint</t>
  </si>
  <si>
    <t>Scrum Master</t>
  </si>
  <si>
    <t>Product Owner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</si>
  <si>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</si>
  <si>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</si>
  <si>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</si>
  <si>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</si>
  <si>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</si>
  <si>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</si>
  <si>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</si>
  <si>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</si>
  <si>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</si>
  <si>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</si>
  <si>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</si>
  <si>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</si>
  <si>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</si>
  <si>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</si>
  <si>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</si>
  <si>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</si>
  <si>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Todo</t>
  </si>
  <si>
    <t>T-01.2</t>
  </si>
  <si>
    <t>T-01.3</t>
  </si>
  <si>
    <t>T-01.4</t>
  </si>
  <si>
    <t>US-02</t>
  </si>
  <si>
    <t>T-02.1</t>
  </si>
  <si>
    <t>T-02.2</t>
  </si>
  <si>
    <t>T-02.3</t>
  </si>
  <si>
    <t>T-02.4</t>
  </si>
  <si>
    <t>T-02.5</t>
  </si>
  <si>
    <t>TOTAL</t>
  </si>
  <si>
    <t>16 h estimées · capacité 28 h-pers · marge 12 h pour onboarding, pair-programming, setup</t>
  </si>
  <si>
    <t>📌 STATUTS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</si>
  <si>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</si>
  <si>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</si>
  <si>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</si>
  <si>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</si>
  <si>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</si>
  <si>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Done</t>
  </si>
  <si>
    <t>Tâche terminée et validée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</si>
  <si>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</si>
  <si>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</si>
  <si>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</si>
  <si>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</si>
  <si>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</si>
  <si>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</si>
  <si>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</si>
  <si>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</si>
  <si>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</si>
  <si>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</si>
  <si>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</si>
  <si>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</si>
  <si>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15h00, Daily intermédiaire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</si>
  <si>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</si>
  <si>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</si>
  <si>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</si>
  <si>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</si>
  <si>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</si>
  <si>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</si>
  <si>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</si>
  <si>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</si>
  <si>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</si>
  <si>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</si>
  <si>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</si>
  <si>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</si>
  <si>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</si>
  <si>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</si>
  <si>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</si>
  <si>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</si>
  <si>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</si>
  <si>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</si>
  <si>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</si>
  <si>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</si>
  <si>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</si>
  <si>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</si>
  <si>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Métadonnées sprint complètes (numéro, date, équipe, capacité, vélocité cible, objectif, SM/PO)</t>
  </si>
  <si>
    <t>Stories engagées tirées du Product Backlog avec leur ID (US-XX)</t>
  </si>
  <si>
    <t>Chaque story est décomposée en 3-5 tâches techniques atomiques (1-3 h chacune)</t>
  </si>
  <si>
    <t>Chaque tâche a un ID (T-XX.Y) et un libellé clair et actionnable</t>
  </si>
  <si>
    <t>Chaque tâche est assignée à une personne (pas de tâche orpheline)</t>
  </si>
  <si>
    <t>Estimation horaire totale ≤ capacité du sprint (marge raisonnable conservée)</t>
  </si>
  <si>
    <t>Burndown initialisé avec heures idéales par moment du sprint</t>
  </si>
  <si>
    <t>Burndown mis à jour à chaque daily (colonne Réel renseignée)</t>
  </si>
  <si>
    <t>Sprint Review programmée en fin de sprint avec démo PO</t>
  </si>
  <si>
    <t>Le Sprint Backlog a été co-construit en Sprint Planning (toutes les voix entendues)</t>
  </si>
  <si>
    <t>Groupe 28</t>
  </si>
  <si>
    <t>Make CHEN, Tiago DUVAL, James MBA FONGANG, Rémi KORZENIOWSKI, Eddy MENSAH, Caleb Nathanael TSIBA MODESTE</t>
  </si>
  <si>
    <t>Tiago DUVAL</t>
  </si>
  <si>
    <t>Mostapha Bachir Mostapha Bachir ADDI</t>
  </si>
  <si>
    <t>8 à 10 SP ciblés · engagement horaire : 20 h / 28 h</t>
  </si>
  <si>
    <t>Sécuriser le socle étudiant F1/F2 et intégrer la cible enseignante Mme Lefèvre dans le backlog Sprint 1 sans surcharger le MVP.</t>
  </si>
  <si>
    <t>Vérifier l’existant inscription / connexion email et identifier les écarts avec les critères d’acceptation</t>
  </si>
  <si>
    <t>Fiabiliser validation email + mot de passe ≥ 8 caractères côté API et messages d’erreur</t>
  </si>
  <si>
    <t>Tester le parcours React inscription / connexion + redirection profil</t>
  </si>
  <si>
    <t>Ajouter tests rapides auth + commit clair sur GitHub</t>
  </si>
  <si>
    <t>Vérifier le modèle Course et les champs utiles : user, titre, contenu, source, date</t>
  </si>
  <si>
    <t>Fiabiliser upload PDF ≤ 5 Mo + extraction texte avec message d’erreur si fichier invalide</t>
  </si>
  <si>
    <t>Fiabiliser saisie texte ≥ 200 caractères + validation front/back</t>
  </si>
  <si>
    <t>Tester la page upload React : PDF, texte, cas erreur, retour utilisateur</t>
  </si>
  <si>
    <t>Ajouter tests upload + README court sur le parcours cours</t>
  </si>
  <si>
    <t>Préparer la structure minimale permettant à l’enseignante de consulter les résultats d’une classe</t>
  </si>
  <si>
    <t>US-07</t>
  </si>
  <si>
    <t>T-07.1</t>
  </si>
  <si>
    <t>T-07.2</t>
  </si>
  <si>
    <t>Créer une route / espace enseignant minimal ou maquette fonctionnelle de consultation des résultats</t>
  </si>
  <si>
    <t>Début sprint : engagement Sprint 1 validé après perturbation J1</t>
  </si>
  <si>
    <t>Oui</t>
  </si>
  <si>
    <t>Partiel</t>
  </si>
  <si>
    <t>Assignations à compléter avec les vrais prénoms des membres.</t>
  </si>
  <si>
    <t>James</t>
  </si>
  <si>
    <t>Eddy</t>
  </si>
  <si>
    <t>Tiago</t>
  </si>
  <si>
    <t>Caleb</t>
  </si>
  <si>
    <t>Rémi</t>
  </si>
  <si>
    <t>Make</t>
  </si>
  <si>
    <t>Mardi 30/06/2026, 14h00 à 18h00 (4 h)</t>
  </si>
  <si>
    <t>30/06/2026 14h00</t>
  </si>
  <si>
    <t>Draft / En revue PO</t>
  </si>
  <si>
    <t>SPRINT BACKLOG : SPRINT 2</t>
  </si>
  <si>
    <t>BURNDOWN : SPRINT 2</t>
  </si>
  <si>
    <t>Sprint 2</t>
  </si>
  <si>
    <t>Mardi 30/06/2026, 14h00 à 17h30 (3h30)</t>
  </si>
  <si>
    <t>7 × 3,5 h = 24,5 h-pers</t>
  </si>
  <si>
    <t>US-03</t>
  </si>
  <si>
    <t>T-03.1</t>
  </si>
  <si>
    <t>Préparer le prompt de benchmark et exécuter 5 générations identiques avec Gemma 3 4B via Ollama</t>
  </si>
  <si>
    <t>T-03.2</t>
  </si>
  <si>
    <t>Mesurer les performances : médiane, P95, moyenne, min, max et débit tokens/s</t>
  </si>
  <si>
    <t>T-03.3</t>
  </si>
  <si>
    <t>Analyser la qualité des sorties : JSON valide, JSON_STRUCT_ERR, JSON_PARSE_ERR</t>
  </si>
  <si>
    <t>T-03.4</t>
  </si>
  <si>
    <t>Mettre à jour le prompt de génération pour imposer une structure JSON stricte</t>
  </si>
  <si>
    <t>T-03.5</t>
  </si>
  <si>
    <t>Préparer un scénario de démonstration montrant une génération rapide et exploitable</t>
  </si>
  <si>
    <t>ADR-J2</t>
  </si>
  <si>
    <t>T-ADR.1</t>
  </si>
  <si>
    <t>T-ADR.2</t>
  </si>
  <si>
    <t>T-ADR.3</t>
  </si>
  <si>
    <t>T-TECH.1</t>
  </si>
  <si>
    <t>T-TECH.2</t>
  </si>
  <si>
    <t>T-TECH.3</t>
  </si>
  <si>
    <t>T-TECH.4</t>
  </si>
  <si>
    <t>TECH-J2</t>
  </si>
  <si>
    <t>Comparer les options techniques : ne rien faire, sécuriser Gemma 3 4B, modèle plus lourd, API cloud</t>
  </si>
  <si>
    <t>Rédiger l’ADR J2 avec contexte, options, décision, conséquences et KPIs de suivi</t>
  </si>
  <si>
    <t>Versionner l’ADR dans le dossier /docs/adr avec un commit Git clair</t>
  </si>
  <si>
    <t>Ajouter une validation JSON stricte avant affichage du quiz côté application</t>
  </si>
  <si>
    <t>Gérer les erreurs JSON_STRUCT_ERR et JSON_PARSE_ERR avec retour explicite</t>
  </si>
  <si>
    <t>Ajouter un mécanisme de retry automatique en cas de sortie JSON invalide</t>
  </si>
  <si>
    <t>Prévoir un message utilisateur clair si la génération échoue après retry</t>
  </si>
  <si>
    <t>21 h estimées · capacité 24,5 h-pers · marge 3,5 h pour relecture ADR, ajustements PO, intégration et aléas J2</t>
  </si>
  <si>
    <t>Trajectoire des heures restantes lundi 14h00 → 17h30 (sprint de 3h30)</t>
  </si>
  <si>
    <t>Début Sprint 2 : engagement validé avant perturbation J2</t>
  </si>
  <si>
    <t>Benchmark à lancer, replanification nécessaire après annonce J2</t>
  </si>
  <si>
    <t>Benchmark réalisé, analyse des résultats et ADR en cours</t>
  </si>
  <si>
    <t>Validation JSON/retry à finaliser ou à basculer selon capacité</t>
  </si>
  <si>
    <t>Décision technique prise, reste stabilisation JSON/retry si non terminé</t>
  </si>
  <si>
    <t>Métadonnées renseignées pour l’équipe 28, Sprint 2, capacité 24,5 h-pers et objectif J2 technique.</t>
  </si>
  <si>
    <t>US-03 conservée et enrichie ; ajout des éléments ADR-J2 et TECH-J2 liés à la perturbation.</t>
  </si>
  <si>
    <t>âches découpées entre benchmark, analyse JSON, ADR, validation JSON, retry et démo.</t>
  </si>
  <si>
    <t>Identifiants T-03.X, T-ADR.X et T-TECH.X utilisés.</t>
  </si>
  <si>
    <t>21 h engagées sur 24,5 h-pers : marge de 3,5 h conservée.</t>
  </si>
  <si>
    <t>Burndown initialisé sur 21 h restantes : 21 → 15 → 9 → 3 → 0.</t>
  </si>
  <si>
    <t>Réel renseigné pour suivre l’impact de J2 : léger retard constaté et commenté.</t>
  </si>
  <si>
    <t>Review prévue mardi 12h30 avec démonstration du benchmark, de l’ADR et de la génération quiz.</t>
  </si>
  <si>
    <t>À valider collectivement au Sprint Planning / point J2 avec toutes les voix de l’équipe.</t>
  </si>
  <si>
    <t>v3.0</t>
  </si>
  <si>
    <t>Cadrage + Sprint</t>
  </si>
  <si>
    <t>Sprint 4 (J3 Sécurité / Prompt injection)</t>
  </si>
  <si>
    <t>Mercredi matin 9h00 – 12h30</t>
  </si>
  <si>
    <t>sécuriser la génération de quiz contre les injections de prompt.</t>
  </si>
  <si>
    <t>US-27</t>
  </si>
  <si>
    <t>US-28</t>
  </si>
  <si>
    <t>US-29</t>
  </si>
  <si>
    <t>US-30</t>
  </si>
  <si>
    <t>US-SEC</t>
  </si>
  <si>
    <t>T-27.1</t>
  </si>
  <si>
    <t>T-27.2</t>
  </si>
  <si>
    <t>T-27.3</t>
  </si>
  <si>
    <t>T-28.1</t>
  </si>
  <si>
    <t>T-28.2</t>
  </si>
  <si>
    <t>T-29.1</t>
  </si>
  <si>
    <t>T-29.2</t>
  </si>
  <si>
    <t>T-SEC.1</t>
  </si>
  <si>
    <t>T-SEC.2</t>
  </si>
  <si>
    <t>Rédiger au moins 5 prompts adversariaux variés : clair, blanc-sur-blanc, langue différente, base64, consigne contradictoire.</t>
  </si>
  <si>
    <t>Exécuter les tests adversariaux avant patch et documenter les injections réussies.</t>
  </si>
  <si>
    <t>Réexécuter les tests après patch et comparer les résultats avant/après.</t>
  </si>
  <si>
    <t>Séparer explicitement le system prompt et le contenu utilisateur dans la génération.</t>
  </si>
  <si>
    <t>Ajouter une instruction défensive dans le system prompt.</t>
  </si>
  <si>
    <t>Ajouter une validation post-LLM : 4 options distinctes et 1 bonne réponse identifiée.</t>
  </si>
  <si>
    <t>Rejeter les sorties non conformes avec un message clair ou un retry contrôlé.</t>
  </si>
  <si>
    <t>Rédiger la note de sécurité : diagnostic, stratégie défensive, limites résiduelles.</t>
  </si>
  <si>
    <t>Ajouter au moins un test adversarial automatisé dans GitHub Actions.</t>
  </si>
  <si>
    <t>21 h estimées · capacité 24,5 h-pers · marge 3,5 h pour aléas J3</t>
  </si>
  <si>
    <t>9h00, début sprint</t>
  </si>
  <si>
    <t>10h00, perturbation J3</t>
  </si>
  <si>
    <t>11h00, après tests avant patch</t>
  </si>
  <si>
    <t>12h00, avant clôture</t>
  </si>
  <si>
    <t>12h30, fin sprint / review</t>
  </si>
  <si>
    <t>Début Sprint 4 : objectif sécurité validé.</t>
  </si>
  <si>
    <t>Prompt injection confirmée, replanification nécessaire.</t>
  </si>
  <si>
    <t>Tests adversariaux lancés, patch en cours.</t>
  </si>
  <si>
    <t>Validation post-LLM et note de sécurité à finaliser.</t>
  </si>
  <si>
    <t>Patch principal réalisé, reste possible : durcissement CI ou documentation.</t>
  </si>
  <si>
    <t>Sprint 5</t>
  </si>
  <si>
    <t>Mercredi 01/07/2026, 14h00 à 18h00</t>
  </si>
  <si>
    <t>Traiter J3-bis comme une décision de conformité : registre SAR, inventaire des données, réponse écrite, politique de rétention allégée et finalisation MVP Release 1.</t>
  </si>
  <si>
    <t>US-31</t>
  </si>
  <si>
    <t>US-32</t>
  </si>
  <si>
    <t>US-33</t>
  </si>
  <si>
    <t>US-RGPD</t>
  </si>
  <si>
    <t>US-R1</t>
  </si>
  <si>
    <t>T-30.1</t>
  </si>
  <si>
    <t>T-30.2</t>
  </si>
  <si>
    <t>T-31.1</t>
  </si>
  <si>
    <t>T-31.2</t>
  </si>
  <si>
    <t>T-32.1</t>
  </si>
  <si>
    <t>T-33.1</t>
  </si>
  <si>
    <t>T-RGPD.1</t>
  </si>
  <si>
    <t>T-RGPD.2</t>
  </si>
  <si>
    <t>T-R1.1</t>
  </si>
  <si>
    <t>T-R1.2</t>
  </si>
  <si>
    <t>Total engagé : 25 h / 28 h-pers * Marge conservée : 3 h</t>
  </si>
  <si>
    <t>Enregistrer la demande SAR de Hugo Petit dans un registre de traitement.</t>
  </si>
  <si>
    <t>Renseigner demandeur, compte concerné, date, statut, délai de réponse et données demandées.</t>
  </si>
  <si>
    <t>Inventorier les données personnelles détenues pour hugo.petit@test.local.</t>
  </si>
  <si>
    <t>Lister les données à transmettre : compte, cours, quiz, réponses, scores, signalements, logs.</t>
  </si>
  <si>
    <t>Rédiger la réponse écrite à Hugo Petit : accusé de réception, données, format, droits RGPD, contact DPO.</t>
  </si>
  <si>
    <t>Rédiger la politique de rétention allégée : durées, motif légal, suppression.</t>
  </si>
  <si>
    <t>Rédiger une note de priorisation : ce qui est traité en R1, ce qui est reporté en R2.</t>
  </si>
  <si>
    <t>Vérifier que la Release 1 reste démontrable malgré J3-bis.</t>
  </si>
  <si>
    <t>Corriger les derniers points bloquants du MVP avant livraison.</t>
  </si>
  <si>
    <t>14h00, début sprint</t>
  </si>
  <si>
    <t>15h00, traitement RGPD</t>
  </si>
  <si>
    <t>16h00, mi-sprint</t>
  </si>
  <si>
    <t>17h00, avant livraison</t>
  </si>
  <si>
    <t>17h45, Release 1</t>
  </si>
  <si>
    <t>Release 1 livrable, reste ajustement mineur ou documentation.</t>
  </si>
  <si>
    <t>Début Sprint 5 : objectif Release 1 + J3-bis validé.</t>
  </si>
  <si>
    <t>Inventaire et registre SAR en cours.</t>
  </si>
  <si>
    <t>Réponse Hugo Petit et politique de rétention en rédaction.</t>
  </si>
  <si>
    <t>Vérification Release 1 et démo en cours.</t>
  </si>
  <si>
    <t>Sprint Backlog mis à jour après les perturbations J3 et J3-bis.</t>
  </si>
  <si>
    <t>Les tâches de sécurité couvrent les tests adversariaux, le patch contre la prompt injection, la validation post-LLM, la note de sécurité et l’automatisation d’un test CI.</t>
  </si>
  <si>
    <t>Les tâches RGPD couvrent le registre SAR, l’inventaire des données de Hugo Petit, la réponse écrite, la politique de rétention allégée et la note de priorisation.</t>
  </si>
  <si>
    <t>Les charges engagées restent inférieures aux capacités disponibles afin de conserver une marge de stabilisation avant la Release 1.</t>
  </si>
  <si>
    <t>Auto-évaluation Sprint 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</si>
</sst>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E1B4B"/>
      <name val="Calibri"/>
    </font>
    <font>
      <sz val="10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b/>
      <sz val="11"/>
      <color rgb="FF1E1B4B"/>
      <name val="Calibri"/>
    </font>
    <font>
      <b/>
      <sz val="10"/>
      <color rgb="FF475569"/>
      <name val="Calibri"/>
    </font>
    <font>
      <b/>
      <sz val="10"/>
      <color rgb="FFB45309"/>
      <name val="Calibri"/>
    </font>
    <font>
      <b/>
      <sz val="18"/>
      <color theme="1"/>
      <name val="Calibri"/>
      <family val="2"/>
      <scheme val="minor"/>
    </font>
    <font>
      <sz val="10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FFFFFF"/>
        <bgColor rgb="FFFFFFFF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2" borderId="2" xfId="0" applyFont="1" applyFill="1" applyBorder="1"/>
    <xf numFmtId="0" fontId="15" fillId="0" borderId="2" xfId="0" applyFont="1" applyBorder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vertical="center" wrapText="1"/>
    </xf>
    <xf numFmtId="0" fontId="15" fillId="4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vertical="center" wrapText="1"/>
    </xf>
    <xf numFmtId="0" fontId="15" fillId="6" borderId="2" xfId="0" applyFont="1" applyFill="1" applyBorder="1" applyAlignment="1">
      <alignment vertical="center" wrapText="1"/>
    </xf>
    <xf numFmtId="0" fontId="15" fillId="6" borderId="2" xfId="0" applyFont="1" applyFill="1" applyBorder="1" applyAlignment="1">
      <alignment horizontal="center" vertical="center"/>
    </xf>
    <xf numFmtId="0" fontId="19" fillId="7" borderId="2" xfId="0" applyFont="1" applyFill="1" applyBorder="1"/>
    <xf numFmtId="0" fontId="0" fillId="7" borderId="2" xfId="0" applyFill="1" applyBorder="1"/>
    <xf numFmtId="0" fontId="9" fillId="7" borderId="2" xfId="0" applyFont="1" applyFill="1" applyBorder="1"/>
    <xf numFmtId="0" fontId="20" fillId="0" borderId="0" xfId="0" applyFont="1"/>
    <xf numFmtId="0" fontId="21" fillId="0" borderId="0" xfId="0" applyFont="1"/>
    <xf numFmtId="0" fontId="14" fillId="0" borderId="2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wrapText="1"/>
    </xf>
    <xf numFmtId="0" fontId="22" fillId="0" borderId="0" xfId="0" applyFont="1" applyAlignment="1">
      <alignment vertical="center"/>
    </xf>
    <xf numFmtId="0" fontId="2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'Burndown Sprint 1'!$B$7</c:f>
              <c:strCache>
                <c:ptCount val="1"/>
                <c:pt idx="0">
                  <c:v>Heure restante (idéal)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'Burndown Sprint 1'!$A$8:$A$12</c:f>
              <c:strCache>
                <c:ptCount val="5"/>
                <c:pt idx="0">
                  <c:v>14h00, Début sprint</c:v>
                </c:pt>
                <c:pt idx="1">
                  <c:v>15h00, Daily intermédiaire</c:v>
                </c:pt>
                <c:pt idx="2">
                  <c:v>16h00, Mi-sprint</c:v>
                </c:pt>
                <c:pt idx="3">
                  <c:v>17h00, Avant clôture</c:v>
                </c:pt>
                <c:pt idx="4">
                  <c:v>18h00, Fin sprint / Review</c:v>
                </c:pt>
              </c:strCache>
            </c:strRef>
          </c:cat>
          <c:val>
            <c:numRef>
              <c:f>'Burndown Sprint 1'!$B$8:$B$12</c:f>
              <c:numCache>
                <c:formatCode>General</c:formatCode>
                <c:ptCount val="5"/>
                <c:pt idx="0">
                  <c:v>20</c:v>
                </c:pt>
                <c:pt idx="1">
                  <c:v>15</c:v>
                </c:pt>
                <c:pt idx="2">
                  <c:v>10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79-443C-8D5F-DB3F52B01BD6}"/>
            </c:ext>
          </c:extLst>
        </c:ser>
        <c:ser>
          <c:idx val="1"/>
          <c:order val="1"/>
          <c:tx>
            <c:strRef>
              <c:f>'Burndown Sprint 1'!$C$7</c:f>
              <c:strCache>
                <c:ptCount val="1"/>
                <c:pt idx="0">
                  <c:v>Heure restante (réel)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'Burndown Sprint 1'!$A$8:$A$12</c:f>
              <c:strCache>
                <c:ptCount val="5"/>
                <c:pt idx="0">
                  <c:v>14h00, Début sprint</c:v>
                </c:pt>
                <c:pt idx="1">
                  <c:v>15h00, Daily intermédiaire</c:v>
                </c:pt>
                <c:pt idx="2">
                  <c:v>16h00, Mi-sprint</c:v>
                </c:pt>
                <c:pt idx="3">
                  <c:v>17h00, Avant clôture</c:v>
                </c:pt>
                <c:pt idx="4">
                  <c:v>18h00, Fin sprint / Review</c:v>
                </c:pt>
              </c:strCache>
            </c:strRef>
          </c:cat>
          <c:val>
            <c:numRef>
              <c:f>'Burndown Sprint 1'!$C$8:$C$12</c:f>
              <c:numCache>
                <c:formatCode>General</c:formatCode>
                <c:ptCount val="5"/>
                <c:pt idx="0">
                  <c:v>20</c:v>
                </c:pt>
                <c:pt idx="1">
                  <c:v>13</c:v>
                </c:pt>
                <c:pt idx="2">
                  <c:v>9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79-443C-8D5F-DB3F52B01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821935"/>
        <c:axId val="486825263"/>
      </c:lineChart>
      <c:catAx>
        <c:axId val="48682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25263"/>
        <c:crosses val="autoZero"/>
        <c:auto val="1"/>
        <c:lblAlgn val="ctr"/>
        <c:lblOffset val="100"/>
        <c:noMultiLvlLbl val="0"/>
      </c:catAx>
      <c:valAx>
        <c:axId val="48682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2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'Burndown Sprint 2'!$B$7</c:f>
              <c:strCache>
                <c:ptCount val="1"/>
                <c:pt idx="0">
                  <c:v>Heure restante (idéal)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'Burndown Sprint 2'!$A$8:$A$12</c:f>
              <c:strCache>
                <c:ptCount val="5"/>
                <c:pt idx="0">
                  <c:v>14h00, Début sprint</c:v>
                </c:pt>
                <c:pt idx="1">
                  <c:v>15h00, Daily intermédiaire</c:v>
                </c:pt>
                <c:pt idx="2">
                  <c:v>16h00, Mi-sprint</c:v>
                </c:pt>
                <c:pt idx="3">
                  <c:v>17h00, Avant clôture</c:v>
                </c:pt>
                <c:pt idx="4">
                  <c:v>18h00, Fin sprint / Review</c:v>
                </c:pt>
              </c:strCache>
            </c:strRef>
          </c:cat>
          <c:val>
            <c:numRef>
              <c:f>'Burndown Sprint 2'!$B$8:$B$12</c:f>
              <c:numCache>
                <c:formatCode>General</c:formatCode>
                <c:ptCount val="5"/>
                <c:pt idx="0">
                  <c:v>21</c:v>
                </c:pt>
                <c:pt idx="1">
                  <c:v>15</c:v>
                </c:pt>
                <c:pt idx="2">
                  <c:v>9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C0-4DB8-9928-1FB877E717FE}"/>
            </c:ext>
          </c:extLst>
        </c:ser>
        <c:ser>
          <c:idx val="1"/>
          <c:order val="1"/>
          <c:tx>
            <c:strRef>
              <c:f>'Burndown Sprint 2'!$C$7</c:f>
              <c:strCache>
                <c:ptCount val="1"/>
                <c:pt idx="0">
                  <c:v>Heure restante (réel)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'Burndown Sprint 2'!$A$8:$A$12</c:f>
              <c:strCache>
                <c:ptCount val="5"/>
                <c:pt idx="0">
                  <c:v>14h00, Début sprint</c:v>
                </c:pt>
                <c:pt idx="1">
                  <c:v>15h00, Daily intermédiaire</c:v>
                </c:pt>
                <c:pt idx="2">
                  <c:v>16h00, Mi-sprint</c:v>
                </c:pt>
                <c:pt idx="3">
                  <c:v>17h00, Avant clôture</c:v>
                </c:pt>
                <c:pt idx="4">
                  <c:v>18h00, Fin sprint / Review</c:v>
                </c:pt>
              </c:strCache>
            </c:strRef>
          </c:cat>
          <c:val>
            <c:numRef>
              <c:f>'Burndown Sprint 2'!$C$8:$C$12</c:f>
              <c:numCache>
                <c:formatCode>General</c:formatCode>
                <c:ptCount val="5"/>
                <c:pt idx="0">
                  <c:v>21</c:v>
                </c:pt>
                <c:pt idx="1">
                  <c:v>17</c:v>
                </c:pt>
                <c:pt idx="2">
                  <c:v>10</c:v>
                </c:pt>
                <c:pt idx="3">
                  <c:v>4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C0-4DB8-9928-1FB877E71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821935"/>
        <c:axId val="486825263"/>
      </c:lineChart>
      <c:catAx>
        <c:axId val="48682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25263"/>
        <c:crosses val="autoZero"/>
        <c:auto val="1"/>
        <c:lblAlgn val="ctr"/>
        <c:lblOffset val="100"/>
        <c:noMultiLvlLbl val="0"/>
      </c:catAx>
      <c:valAx>
        <c:axId val="48682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2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'Burndown Sprint 4'!$B$7</c:f>
              <c:strCache>
                <c:ptCount val="1"/>
                <c:pt idx="0">
                  <c:v>Heure restante (idéal)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'Burndown Sprint 4'!$A$8:$A$12</c:f>
              <c:strCache>
                <c:ptCount val="5"/>
                <c:pt idx="0">
                  <c:v>9h00, début sprint</c:v>
                </c:pt>
                <c:pt idx="1">
                  <c:v>10h00, perturbation J3</c:v>
                </c:pt>
                <c:pt idx="2">
                  <c:v>11h00, après tests avant patch</c:v>
                </c:pt>
                <c:pt idx="3">
                  <c:v>12h00, avant clôture</c:v>
                </c:pt>
                <c:pt idx="4">
                  <c:v>12h30, fin sprint / review</c:v>
                </c:pt>
              </c:strCache>
            </c:strRef>
          </c:cat>
          <c:val>
            <c:numRef>
              <c:f>'Burndown Sprint 4'!$B$8:$B$12</c:f>
              <c:numCache>
                <c:formatCode>General</c:formatCode>
                <c:ptCount val="5"/>
                <c:pt idx="0">
                  <c:v>21</c:v>
                </c:pt>
                <c:pt idx="1">
                  <c:v>16</c:v>
                </c:pt>
                <c:pt idx="2">
                  <c:v>10</c:v>
                </c:pt>
                <c:pt idx="3">
                  <c:v>5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BC-4ED9-B8DD-491F58354881}"/>
            </c:ext>
          </c:extLst>
        </c:ser>
        <c:ser>
          <c:idx val="1"/>
          <c:order val="1"/>
          <c:tx>
            <c:strRef>
              <c:f>'Burndown Sprint 4'!$C$7</c:f>
              <c:strCache>
                <c:ptCount val="1"/>
                <c:pt idx="0">
                  <c:v>Heure restante (réel)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'Burndown Sprint 4'!$A$8:$A$12</c:f>
              <c:strCache>
                <c:ptCount val="5"/>
                <c:pt idx="0">
                  <c:v>9h00, début sprint</c:v>
                </c:pt>
                <c:pt idx="1">
                  <c:v>10h00, perturbation J3</c:v>
                </c:pt>
                <c:pt idx="2">
                  <c:v>11h00, après tests avant patch</c:v>
                </c:pt>
                <c:pt idx="3">
                  <c:v>12h00, avant clôture</c:v>
                </c:pt>
                <c:pt idx="4">
                  <c:v>12h30, fin sprint / review</c:v>
                </c:pt>
              </c:strCache>
            </c:strRef>
          </c:cat>
          <c:val>
            <c:numRef>
              <c:f>'Burndown Sprint 4'!$C$8:$C$12</c:f>
              <c:numCache>
                <c:formatCode>General</c:formatCode>
                <c:ptCount val="5"/>
                <c:pt idx="0">
                  <c:v>21</c:v>
                </c:pt>
                <c:pt idx="1">
                  <c:v>18</c:v>
                </c:pt>
                <c:pt idx="2">
                  <c:v>12</c:v>
                </c:pt>
                <c:pt idx="3">
                  <c:v>6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BC-4ED9-B8DD-491F58354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821935"/>
        <c:axId val="486825263"/>
      </c:lineChart>
      <c:catAx>
        <c:axId val="48682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25263"/>
        <c:crosses val="autoZero"/>
        <c:auto val="1"/>
        <c:lblAlgn val="ctr"/>
        <c:lblOffset val="100"/>
        <c:noMultiLvlLbl val="0"/>
      </c:catAx>
      <c:valAx>
        <c:axId val="48682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2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'Burndown Sprint 5'!$B$7</c:f>
              <c:strCache>
                <c:ptCount val="1"/>
                <c:pt idx="0">
                  <c:v>Heure restante (idéal)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'Burndown Sprint 5'!$A$8:$A$12</c:f>
              <c:strCache>
                <c:ptCount val="5"/>
                <c:pt idx="0">
                  <c:v>14h00, début sprint</c:v>
                </c:pt>
                <c:pt idx="1">
                  <c:v>15h00, traitement RGPD</c:v>
                </c:pt>
                <c:pt idx="2">
                  <c:v>16h00, mi-sprint</c:v>
                </c:pt>
                <c:pt idx="3">
                  <c:v>17h00, avant livraison</c:v>
                </c:pt>
                <c:pt idx="4">
                  <c:v>17h45, Release 1</c:v>
                </c:pt>
              </c:strCache>
            </c:strRef>
          </c:cat>
          <c:val>
            <c:numRef>
              <c:f>'Burndown Sprint 5'!$B$8:$B$12</c:f>
              <c:numCache>
                <c:formatCode>General</c:formatCode>
                <c:ptCount val="5"/>
                <c:pt idx="0">
                  <c:v>25</c:v>
                </c:pt>
                <c:pt idx="1">
                  <c:v>19</c:v>
                </c:pt>
                <c:pt idx="2">
                  <c:v>13</c:v>
                </c:pt>
                <c:pt idx="3">
                  <c:v>6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C4-4D2E-8877-6ACC47C33F3E}"/>
            </c:ext>
          </c:extLst>
        </c:ser>
        <c:ser>
          <c:idx val="1"/>
          <c:order val="1"/>
          <c:tx>
            <c:strRef>
              <c:f>'Burndown Sprint 5'!$C$7</c:f>
              <c:strCache>
                <c:ptCount val="1"/>
                <c:pt idx="0">
                  <c:v>Heure restante (réel)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'Burndown Sprint 5'!$A$8:$A$12</c:f>
              <c:strCache>
                <c:ptCount val="5"/>
                <c:pt idx="0">
                  <c:v>14h00, début sprint</c:v>
                </c:pt>
                <c:pt idx="1">
                  <c:v>15h00, traitement RGPD</c:v>
                </c:pt>
                <c:pt idx="2">
                  <c:v>16h00, mi-sprint</c:v>
                </c:pt>
                <c:pt idx="3">
                  <c:v>17h00, avant livraison</c:v>
                </c:pt>
                <c:pt idx="4">
                  <c:v>17h45, Release 1</c:v>
                </c:pt>
              </c:strCache>
            </c:strRef>
          </c:cat>
          <c:val>
            <c:numRef>
              <c:f>'Burndown Sprint 5'!$C$8:$C$12</c:f>
              <c:numCache>
                <c:formatCode>General</c:formatCode>
                <c:ptCount val="5"/>
                <c:pt idx="0">
                  <c:v>25</c:v>
                </c:pt>
                <c:pt idx="1">
                  <c:v>20</c:v>
                </c:pt>
                <c:pt idx="2">
                  <c:v>14</c:v>
                </c:pt>
                <c:pt idx="3">
                  <c:v>7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C4-4D2E-8877-6ACC47C33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821935"/>
        <c:axId val="486825263"/>
      </c:lineChart>
      <c:catAx>
        <c:axId val="48682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25263"/>
        <c:crosses val="autoZero"/>
        <c:auto val="1"/>
        <c:lblAlgn val="ctr"/>
        <c:lblOffset val="100"/>
        <c:noMultiLvlLbl val="0"/>
      </c:catAx>
      <c:valAx>
        <c:axId val="48682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82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22</xdr:row>
      <xdr:rowOff>118110</xdr:rowOff>
    </xdr:from>
    <xdr:to>
      <xdr:col>3</xdr:col>
      <xdr:colOff>228600</xdr:colOff>
      <xdr:row>37</xdr:row>
      <xdr:rowOff>118110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22</xdr:row>
      <xdr:rowOff>118110</xdr:rowOff>
    </xdr:from>
    <xdr:to>
      <xdr:col>3</xdr:col>
      <xdr:colOff>228600</xdr:colOff>
      <xdr:row>37</xdr:row>
      <xdr:rowOff>118110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22</xdr:row>
      <xdr:rowOff>118110</xdr:rowOff>
    </xdr:from>
    <xdr:to>
      <xdr:col>3</xdr:col>
      <xdr:colOff>228600</xdr:colOff>
      <xdr:row>37</xdr:row>
      <xdr:rowOff>118110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22</xdr:row>
      <xdr:rowOff>118110</xdr:rowOff>
    </xdr:from>
    <xdr:to>
      <xdr:col>3</xdr:col>
      <xdr:colOff>228600</xdr:colOff>
      <xdr:row>37</xdr:row>
      <xdr:rowOff>118110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21"/>
  <sheetViews>
    <sheetView showGridLines="0" topLeftCell="A8" workbookViewId="0"/>
  </sheetViews>
  <sheetFormatPr baseColWidth="10" defaultColWidth="8.88671875" defaultRowHeight="14.4" x14ac:dyDescent="0.3"/>
  <cols>
    <col min="1" max="1" width="4" customWidth="1"/>
    <col min="2" max="2" width="90" customWidth="1"/>
  </cols>
  <sheetData>
    <row r="2" spans="2:2" ht="91.8" x14ac:dyDescent="1.65">
      <c r="B2" s="1" t="s">
        <v>0</v>
      </c>
    </row>
    <row r="4" spans="2:2" ht="18" x14ac:dyDescent="0.35">
      <c r="B4" s="2" t="s">
        <v>1</v>
      </c>
    </row>
    <row r="8" spans="2:2" x14ac:dyDescent="0.3">
      <c r="B8" s="3" t="s">
        <v>2</v>
      </c>
    </row>
    <row r="10" spans="2:2" ht="31.2" x14ac:dyDescent="0.6">
      <c r="B10" s="4" t="s">
        <v>3</v>
      </c>
    </row>
    <row r="12" spans="2:2" ht="15.6" x14ac:dyDescent="0.3">
      <c r="B12" s="5" t="s">
        <v>4</v>
      </c>
    </row>
    <row r="20" spans="2:2" x14ac:dyDescent="0.3">
      <c r="B20" s="6" t="s">
        <v>5</v>
      </c>
    </row>
    <row r="21" spans="2:2" x14ac:dyDescent="0.3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3"/>
  <sheetViews>
    <sheetView showGridLines="0" workbookViewId="0">
      <selection activeCell="C8" sqref="C8"/>
    </sheetView>
  </sheetViews>
  <sheetFormatPr baseColWidth="10" defaultColWidth="8.88671875" defaultRowHeight="14.4" x14ac:dyDescent="0.3"/>
  <cols>
    <col min="1" max="1" width="2" customWidth="1"/>
    <col min="2" max="2" width="25" customWidth="1"/>
    <col min="3" max="3" width="60" customWidth="1"/>
  </cols>
  <sheetData>
    <row r="2" spans="2:3" ht="15.6" x14ac:dyDescent="0.3">
      <c r="B2" s="8" t="s">
        <v>7</v>
      </c>
    </row>
    <row r="3" spans="2:3" x14ac:dyDescent="0.3">
      <c r="B3" s="9" t="s">
        <v>8</v>
      </c>
    </row>
    <row r="5" spans="2:3" ht="22.05" customHeight="1" x14ac:dyDescent="0.3">
      <c r="B5" s="10" t="s">
        <v>9</v>
      </c>
      <c r="C5" s="11" t="s">
        <v>112</v>
      </c>
    </row>
    <row r="6" spans="2:3" ht="28.8" x14ac:dyDescent="0.3">
      <c r="B6" s="10" t="s">
        <v>10</v>
      </c>
      <c r="C6" s="37" t="s">
        <v>113</v>
      </c>
    </row>
    <row r="7" spans="2:3" ht="22.05" customHeight="1" x14ac:dyDescent="0.3">
      <c r="B7" s="10" t="s">
        <v>11</v>
      </c>
      <c r="C7" s="11" t="s">
        <v>194</v>
      </c>
    </row>
    <row r="8" spans="2:3" ht="22.05" customHeight="1" x14ac:dyDescent="0.3">
      <c r="B8" s="10" t="s">
        <v>12</v>
      </c>
      <c r="C8" s="11" t="s">
        <v>193</v>
      </c>
    </row>
    <row r="9" spans="2:3" ht="22.05" customHeight="1" x14ac:dyDescent="0.3">
      <c r="B9" s="10" t="s">
        <v>13</v>
      </c>
      <c r="C9" s="11" t="s">
        <v>143</v>
      </c>
    </row>
    <row r="10" spans="2:3" ht="22.05" customHeight="1" x14ac:dyDescent="0.3">
      <c r="B10" s="10" t="s">
        <v>14</v>
      </c>
      <c r="C10" s="11" t="s">
        <v>144</v>
      </c>
    </row>
    <row r="12" spans="2:3" x14ac:dyDescent="0.3">
      <c r="B12" s="12" t="s">
        <v>15</v>
      </c>
    </row>
    <row r="13" spans="2:3" x14ac:dyDescent="0.3">
      <c r="B13" s="7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showGridLines="0" workbookViewId="0">
      <pane ySplit="19" topLeftCell="A24" activePane="bottomLeft" state="frozen"/>
      <selection pane="bottomLeft" activeCell="B6" sqref="B6"/>
    </sheetView>
  </sheetViews>
  <sheetFormatPr baseColWidth="10" defaultColWidth="8.88671875" defaultRowHeight="14.4" x14ac:dyDescent="0.3"/>
  <cols>
    <col min="1" max="1" width="57.6640625" bestFit="1" customWidth="1"/>
    <col min="2" max="2" width="110" bestFit="1" customWidth="1"/>
    <col min="3" max="3" width="45" customWidth="1"/>
    <col min="4" max="4" width="13" customWidth="1"/>
    <col min="5" max="5" width="10" customWidth="1"/>
    <col min="6" max="7" width="11" customWidth="1"/>
  </cols>
  <sheetData>
    <row r="1" spans="1:2" ht="23.4" x14ac:dyDescent="0.45">
      <c r="A1" s="13" t="s">
        <v>17</v>
      </c>
    </row>
    <row r="2" spans="1:2" x14ac:dyDescent="0.3">
      <c r="A2" s="9" t="s">
        <v>18</v>
      </c>
    </row>
    <row r="4" spans="1:2" ht="15.6" x14ac:dyDescent="0.3">
      <c r="A4" s="8" t="s">
        <v>19</v>
      </c>
    </row>
    <row r="5" spans="1:2" ht="22.05" customHeight="1" x14ac:dyDescent="0.3">
      <c r="A5" s="14" t="s">
        <v>20</v>
      </c>
      <c r="B5" s="15" t="s">
        <v>21</v>
      </c>
    </row>
    <row r="6" spans="1:2" ht="22.05" customHeight="1" x14ac:dyDescent="0.3">
      <c r="A6" s="14" t="s">
        <v>22</v>
      </c>
      <c r="B6" s="15" t="s">
        <v>142</v>
      </c>
    </row>
    <row r="7" spans="1:2" ht="22.05" customHeight="1" x14ac:dyDescent="0.3">
      <c r="A7" s="14" t="s">
        <v>23</v>
      </c>
      <c r="B7" s="15" t="s">
        <v>24</v>
      </c>
    </row>
    <row r="8" spans="1:2" ht="22.05" customHeight="1" x14ac:dyDescent="0.3">
      <c r="A8" s="14" t="s">
        <v>25</v>
      </c>
      <c r="B8" s="15" t="s">
        <v>26</v>
      </c>
    </row>
    <row r="9" spans="1:2" ht="22.05" customHeight="1" x14ac:dyDescent="0.3">
      <c r="A9" s="14" t="s">
        <v>27</v>
      </c>
      <c r="B9" s="15" t="s">
        <v>116</v>
      </c>
    </row>
    <row r="10" spans="1:2" ht="22.05" customHeight="1" x14ac:dyDescent="0.3">
      <c r="A10" s="14" t="s">
        <v>28</v>
      </c>
      <c r="B10" s="15" t="s">
        <v>117</v>
      </c>
    </row>
    <row r="11" spans="1:2" ht="22.05" customHeight="1" x14ac:dyDescent="0.3">
      <c r="A11" s="14" t="s">
        <v>29</v>
      </c>
      <c r="B11" s="15" t="s">
        <v>114</v>
      </c>
    </row>
    <row r="12" spans="1:2" ht="22.05" customHeight="1" x14ac:dyDescent="0.3">
      <c r="A12" s="14" t="s">
        <v>30</v>
      </c>
      <c r="B12" s="15" t="s">
        <v>115</v>
      </c>
    </row>
    <row r="14" spans="1:2" x14ac:dyDescent="0.3">
      <c r="A14" s="3" t="s">
        <v>31</v>
      </c>
      <c r="B14" s="9" t="s">
        <v>32</v>
      </c>
    </row>
    <row r="15" spans="1:2" x14ac:dyDescent="0.3">
      <c r="A15" s="3" t="s">
        <v>33</v>
      </c>
      <c r="B15" s="9" t="s">
        <v>34</v>
      </c>
    </row>
    <row r="16" spans="1:2" x14ac:dyDescent="0.3">
      <c r="A16" s="16" t="s">
        <v>35</v>
      </c>
      <c r="B16" s="9" t="s">
        <v>36</v>
      </c>
    </row>
    <row r="17" spans="1:7" x14ac:dyDescent="0.3">
      <c r="A17" s="17" t="s">
        <v>37</v>
      </c>
      <c r="B17" s="9" t="s">
        <v>38</v>
      </c>
    </row>
    <row r="19" spans="1:7" x14ac:dyDescent="0.3">
      <c r="A19" s="18" t="s">
        <v>39</v>
      </c>
      <c r="B19" s="18" t="s">
        <v>40</v>
      </c>
      <c r="C19" s="18" t="s">
        <v>41</v>
      </c>
      <c r="D19" s="18" t="s">
        <v>42</v>
      </c>
      <c r="E19" s="18" t="s">
        <v>43</v>
      </c>
      <c r="F19" s="18" t="s">
        <v>44</v>
      </c>
      <c r="G19" s="18" t="s">
        <v>14</v>
      </c>
    </row>
    <row r="20" spans="1:7" ht="30" customHeight="1" x14ac:dyDescent="0.3">
      <c r="A20" s="19" t="s">
        <v>45</v>
      </c>
      <c r="B20" s="19" t="s">
        <v>46</v>
      </c>
      <c r="C20" s="20" t="s">
        <v>118</v>
      </c>
      <c r="D20" s="20" t="s">
        <v>136</v>
      </c>
      <c r="E20" s="21">
        <v>1</v>
      </c>
      <c r="F20" s="21">
        <v>1</v>
      </c>
      <c r="G20" s="20" t="s">
        <v>47</v>
      </c>
    </row>
    <row r="21" spans="1:7" ht="30" customHeight="1" x14ac:dyDescent="0.3">
      <c r="A21" s="19" t="s">
        <v>45</v>
      </c>
      <c r="B21" s="19" t="s">
        <v>48</v>
      </c>
      <c r="C21" s="20" t="s">
        <v>119</v>
      </c>
      <c r="D21" s="20" t="s">
        <v>136</v>
      </c>
      <c r="E21" s="21">
        <v>2</v>
      </c>
      <c r="F21" s="21">
        <v>2</v>
      </c>
      <c r="G21" s="20" t="s">
        <v>47</v>
      </c>
    </row>
    <row r="22" spans="1:7" ht="30" customHeight="1" x14ac:dyDescent="0.3">
      <c r="A22" s="19" t="s">
        <v>45</v>
      </c>
      <c r="B22" s="19" t="s">
        <v>49</v>
      </c>
      <c r="C22" s="20" t="s">
        <v>120</v>
      </c>
      <c r="D22" s="20" t="s">
        <v>141</v>
      </c>
      <c r="E22" s="21">
        <v>1</v>
      </c>
      <c r="F22" s="21">
        <v>1</v>
      </c>
      <c r="G22" s="20" t="s">
        <v>47</v>
      </c>
    </row>
    <row r="23" spans="1:7" ht="30" customHeight="1" x14ac:dyDescent="0.3">
      <c r="A23" s="19" t="s">
        <v>45</v>
      </c>
      <c r="B23" s="19" t="s">
        <v>50</v>
      </c>
      <c r="C23" s="20" t="s">
        <v>121</v>
      </c>
      <c r="D23" s="20" t="s">
        <v>141</v>
      </c>
      <c r="E23" s="21">
        <v>1</v>
      </c>
      <c r="F23" s="21">
        <v>1</v>
      </c>
      <c r="G23" s="20" t="s">
        <v>47</v>
      </c>
    </row>
    <row r="24" spans="1:7" ht="30" customHeight="1" x14ac:dyDescent="0.3">
      <c r="A24" s="22" t="s">
        <v>51</v>
      </c>
      <c r="B24" s="22" t="s">
        <v>52</v>
      </c>
      <c r="C24" s="23" t="s">
        <v>122</v>
      </c>
      <c r="D24" s="23" t="s">
        <v>140</v>
      </c>
      <c r="E24" s="24">
        <v>1</v>
      </c>
      <c r="F24" s="24">
        <v>1</v>
      </c>
      <c r="G24" s="23" t="s">
        <v>47</v>
      </c>
    </row>
    <row r="25" spans="1:7" ht="30" customHeight="1" x14ac:dyDescent="0.3">
      <c r="A25" s="22" t="s">
        <v>51</v>
      </c>
      <c r="B25" s="22" t="s">
        <v>53</v>
      </c>
      <c r="C25" s="23" t="s">
        <v>123</v>
      </c>
      <c r="D25" s="23" t="s">
        <v>140</v>
      </c>
      <c r="E25" s="24">
        <v>2</v>
      </c>
      <c r="F25" s="24">
        <v>2</v>
      </c>
      <c r="G25" s="23" t="s">
        <v>47</v>
      </c>
    </row>
    <row r="26" spans="1:7" ht="30" customHeight="1" x14ac:dyDescent="0.3">
      <c r="A26" s="22" t="s">
        <v>51</v>
      </c>
      <c r="B26" s="22" t="s">
        <v>54</v>
      </c>
      <c r="C26" s="23" t="s">
        <v>124</v>
      </c>
      <c r="D26" s="23" t="s">
        <v>139</v>
      </c>
      <c r="E26" s="24">
        <v>1</v>
      </c>
      <c r="F26" s="24">
        <v>1</v>
      </c>
      <c r="G26" s="23" t="s">
        <v>47</v>
      </c>
    </row>
    <row r="27" spans="1:7" ht="30" customHeight="1" x14ac:dyDescent="0.3">
      <c r="A27" s="22" t="s">
        <v>51</v>
      </c>
      <c r="B27" s="22" t="s">
        <v>55</v>
      </c>
      <c r="C27" s="23" t="s">
        <v>125</v>
      </c>
      <c r="D27" s="23" t="s">
        <v>139</v>
      </c>
      <c r="E27" s="24">
        <v>2</v>
      </c>
      <c r="F27" s="24">
        <v>2</v>
      </c>
      <c r="G27" s="23" t="s">
        <v>47</v>
      </c>
    </row>
    <row r="28" spans="1:7" ht="30" customHeight="1" x14ac:dyDescent="0.3">
      <c r="A28" s="22" t="s">
        <v>51</v>
      </c>
      <c r="B28" s="22" t="s">
        <v>56</v>
      </c>
      <c r="C28" s="23" t="s">
        <v>126</v>
      </c>
      <c r="D28" s="23" t="s">
        <v>137</v>
      </c>
      <c r="E28" s="24">
        <v>1</v>
      </c>
      <c r="F28" s="24">
        <v>1</v>
      </c>
      <c r="G28" s="23" t="s">
        <v>47</v>
      </c>
    </row>
    <row r="29" spans="1:7" ht="30" customHeight="1" x14ac:dyDescent="0.3">
      <c r="A29" s="25" t="s">
        <v>128</v>
      </c>
      <c r="B29" s="25" t="s">
        <v>129</v>
      </c>
      <c r="C29" s="26" t="s">
        <v>127</v>
      </c>
      <c r="D29" s="26" t="s">
        <v>138</v>
      </c>
      <c r="E29" s="27">
        <v>2</v>
      </c>
      <c r="F29" s="27">
        <v>2</v>
      </c>
      <c r="G29" s="26" t="s">
        <v>47</v>
      </c>
    </row>
    <row r="30" spans="1:7" ht="30" customHeight="1" x14ac:dyDescent="0.3">
      <c r="A30" s="25" t="s">
        <v>128</v>
      </c>
      <c r="B30" s="25" t="s">
        <v>130</v>
      </c>
      <c r="C30" s="26" t="s">
        <v>131</v>
      </c>
      <c r="D30" s="26" t="s">
        <v>137</v>
      </c>
      <c r="E30" s="27">
        <v>2</v>
      </c>
      <c r="F30" s="27">
        <v>2</v>
      </c>
      <c r="G30" s="26" t="s">
        <v>47</v>
      </c>
    </row>
    <row r="31" spans="1:7" x14ac:dyDescent="0.3">
      <c r="A31" s="28" t="s">
        <v>57</v>
      </c>
      <c r="B31" s="29"/>
      <c r="C31" s="30" t="s">
        <v>58</v>
      </c>
      <c r="D31" s="29"/>
      <c r="E31" s="28">
        <v>16</v>
      </c>
      <c r="F31" s="28">
        <v>16</v>
      </c>
      <c r="G31" s="29"/>
    </row>
    <row r="33" spans="1:2" x14ac:dyDescent="0.3">
      <c r="A33" s="3" t="s">
        <v>59</v>
      </c>
    </row>
    <row r="34" spans="1:2" x14ac:dyDescent="0.3">
      <c r="A34" s="31" t="s">
        <v>47</v>
      </c>
      <c r="B34" s="9" t="s">
        <v>60</v>
      </c>
    </row>
    <row r="35" spans="1:2" x14ac:dyDescent="0.3">
      <c r="A35" s="32" t="s">
        <v>61</v>
      </c>
      <c r="B35" s="9" t="s">
        <v>62</v>
      </c>
    </row>
    <row r="36" spans="1:2" x14ac:dyDescent="0.3">
      <c r="A36" s="17" t="s">
        <v>63</v>
      </c>
      <c r="B36" s="9" t="s">
        <v>64</v>
      </c>
    </row>
    <row r="37" spans="1:2" x14ac:dyDescent="0.3">
      <c r="A37" s="16" t="s">
        <v>65</v>
      </c>
      <c r="B37" s="9" t="s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showGridLines="0" workbookViewId="0">
      <pane ySplit="19" topLeftCell="A20" activePane="bottomLeft" state="frozen"/>
      <selection pane="bottomLeft" activeCell="D20" sqref="D20"/>
    </sheetView>
  </sheetViews>
  <sheetFormatPr baseColWidth="10" defaultColWidth="8.88671875" defaultRowHeight="14.4" x14ac:dyDescent="0.3"/>
  <cols>
    <col min="1" max="1" width="57.6640625" bestFit="1" customWidth="1"/>
    <col min="2" max="2" width="110" bestFit="1" customWidth="1"/>
    <col min="3" max="3" width="88.21875" bestFit="1" customWidth="1"/>
    <col min="4" max="4" width="13" customWidth="1"/>
    <col min="5" max="5" width="10" customWidth="1"/>
    <col min="6" max="7" width="11" customWidth="1"/>
  </cols>
  <sheetData>
    <row r="1" spans="1:2" ht="23.4" x14ac:dyDescent="0.45">
      <c r="A1" s="13" t="s">
        <v>145</v>
      </c>
    </row>
    <row r="2" spans="1:2" x14ac:dyDescent="0.3">
      <c r="A2" s="9" t="s">
        <v>18</v>
      </c>
    </row>
    <row r="4" spans="1:2" ht="15.6" x14ac:dyDescent="0.3">
      <c r="A4" s="8" t="s">
        <v>19</v>
      </c>
    </row>
    <row r="5" spans="1:2" ht="22.05" customHeight="1" x14ac:dyDescent="0.3">
      <c r="A5" s="14" t="s">
        <v>20</v>
      </c>
      <c r="B5" s="15" t="s">
        <v>147</v>
      </c>
    </row>
    <row r="6" spans="1:2" ht="22.05" customHeight="1" x14ac:dyDescent="0.3">
      <c r="A6" s="14" t="s">
        <v>22</v>
      </c>
      <c r="B6" s="15" t="s">
        <v>148</v>
      </c>
    </row>
    <row r="7" spans="1:2" ht="22.05" customHeight="1" x14ac:dyDescent="0.3">
      <c r="A7" s="14" t="s">
        <v>23</v>
      </c>
      <c r="B7" s="15" t="s">
        <v>24</v>
      </c>
    </row>
    <row r="8" spans="1:2" ht="22.05" customHeight="1" x14ac:dyDescent="0.3">
      <c r="A8" s="14" t="s">
        <v>25</v>
      </c>
      <c r="B8" s="15" t="s">
        <v>149</v>
      </c>
    </row>
    <row r="9" spans="1:2" ht="22.05" customHeight="1" x14ac:dyDescent="0.3">
      <c r="A9" s="14" t="s">
        <v>27</v>
      </c>
      <c r="B9" s="15" t="s">
        <v>116</v>
      </c>
    </row>
    <row r="10" spans="1:2" ht="22.05" customHeight="1" x14ac:dyDescent="0.3">
      <c r="A10" s="14" t="s">
        <v>28</v>
      </c>
      <c r="B10" s="15" t="s">
        <v>117</v>
      </c>
    </row>
    <row r="11" spans="1:2" ht="22.05" customHeight="1" x14ac:dyDescent="0.3">
      <c r="A11" s="14" t="s">
        <v>29</v>
      </c>
      <c r="B11" s="15" t="s">
        <v>114</v>
      </c>
    </row>
    <row r="12" spans="1:2" ht="22.05" customHeight="1" x14ac:dyDescent="0.3">
      <c r="A12" s="14" t="s">
        <v>30</v>
      </c>
      <c r="B12" s="15" t="s">
        <v>115</v>
      </c>
    </row>
    <row r="14" spans="1:2" x14ac:dyDescent="0.3">
      <c r="A14" s="3" t="s">
        <v>31</v>
      </c>
      <c r="B14" s="9" t="s">
        <v>32</v>
      </c>
    </row>
    <row r="15" spans="1:2" x14ac:dyDescent="0.3">
      <c r="A15" s="3" t="s">
        <v>33</v>
      </c>
      <c r="B15" s="9" t="s">
        <v>34</v>
      </c>
    </row>
    <row r="16" spans="1:2" x14ac:dyDescent="0.3">
      <c r="A16" s="16" t="s">
        <v>35</v>
      </c>
      <c r="B16" s="9" t="s">
        <v>36</v>
      </c>
    </row>
    <row r="17" spans="1:7" x14ac:dyDescent="0.3">
      <c r="A17" s="17" t="s">
        <v>37</v>
      </c>
      <c r="B17" s="9" t="s">
        <v>38</v>
      </c>
    </row>
    <row r="19" spans="1:7" x14ac:dyDescent="0.3">
      <c r="A19" s="18" t="s">
        <v>39</v>
      </c>
      <c r="B19" s="18" t="s">
        <v>40</v>
      </c>
      <c r="C19" s="18" t="s">
        <v>41</v>
      </c>
      <c r="D19" s="18" t="s">
        <v>42</v>
      </c>
      <c r="E19" s="18" t="s">
        <v>43</v>
      </c>
      <c r="F19" s="18" t="s">
        <v>44</v>
      </c>
      <c r="G19" s="18" t="s">
        <v>14</v>
      </c>
    </row>
    <row r="20" spans="1:7" ht="30" customHeight="1" x14ac:dyDescent="0.3">
      <c r="A20" s="19" t="s">
        <v>150</v>
      </c>
      <c r="B20" s="19" t="s">
        <v>151</v>
      </c>
      <c r="C20" s="20" t="s">
        <v>152</v>
      </c>
      <c r="D20" s="20"/>
      <c r="E20" s="21">
        <v>2</v>
      </c>
      <c r="F20" s="21">
        <v>2</v>
      </c>
      <c r="G20" s="20" t="s">
        <v>47</v>
      </c>
    </row>
    <row r="21" spans="1:7" ht="30" customHeight="1" x14ac:dyDescent="0.3">
      <c r="A21" s="19" t="s">
        <v>150</v>
      </c>
      <c r="B21" s="19" t="s">
        <v>153</v>
      </c>
      <c r="C21" s="20" t="s">
        <v>154</v>
      </c>
      <c r="D21" s="20"/>
      <c r="E21" s="21">
        <v>1</v>
      </c>
      <c r="F21" s="21">
        <v>1</v>
      </c>
      <c r="G21" s="20" t="s">
        <v>47</v>
      </c>
    </row>
    <row r="22" spans="1:7" ht="30" customHeight="1" x14ac:dyDescent="0.3">
      <c r="A22" s="19" t="s">
        <v>150</v>
      </c>
      <c r="B22" s="19" t="s">
        <v>155</v>
      </c>
      <c r="C22" s="20" t="s">
        <v>156</v>
      </c>
      <c r="D22" s="20"/>
      <c r="E22" s="21">
        <v>1</v>
      </c>
      <c r="F22" s="21">
        <v>1</v>
      </c>
      <c r="G22" s="20" t="s">
        <v>47</v>
      </c>
    </row>
    <row r="23" spans="1:7" ht="30" customHeight="1" x14ac:dyDescent="0.3">
      <c r="A23" s="19" t="s">
        <v>150</v>
      </c>
      <c r="B23" s="19" t="s">
        <v>157</v>
      </c>
      <c r="C23" s="20" t="s">
        <v>158</v>
      </c>
      <c r="D23" s="20"/>
      <c r="E23" s="21">
        <v>2</v>
      </c>
      <c r="F23" s="21">
        <v>2</v>
      </c>
      <c r="G23" s="20" t="s">
        <v>47</v>
      </c>
    </row>
    <row r="24" spans="1:7" ht="30" customHeight="1" x14ac:dyDescent="0.3">
      <c r="A24" s="19" t="s">
        <v>150</v>
      </c>
      <c r="B24" s="19" t="s">
        <v>159</v>
      </c>
      <c r="C24" s="20" t="s">
        <v>160</v>
      </c>
      <c r="D24" s="20"/>
      <c r="E24" s="21">
        <v>1</v>
      </c>
      <c r="F24" s="21">
        <v>1</v>
      </c>
      <c r="G24" s="20" t="s">
        <v>47</v>
      </c>
    </row>
    <row r="25" spans="1:7" ht="30" customHeight="1" x14ac:dyDescent="0.3">
      <c r="A25" s="19" t="s">
        <v>161</v>
      </c>
      <c r="B25" s="19" t="s">
        <v>162</v>
      </c>
      <c r="C25" s="23" t="s">
        <v>170</v>
      </c>
      <c r="D25" s="23"/>
      <c r="E25" s="24">
        <v>1</v>
      </c>
      <c r="F25" s="24">
        <v>1</v>
      </c>
      <c r="G25" s="23" t="s">
        <v>47</v>
      </c>
    </row>
    <row r="26" spans="1:7" ht="30" customHeight="1" x14ac:dyDescent="0.3">
      <c r="A26" s="19" t="s">
        <v>161</v>
      </c>
      <c r="B26" s="19" t="s">
        <v>163</v>
      </c>
      <c r="C26" s="23" t="s">
        <v>171</v>
      </c>
      <c r="D26" s="23"/>
      <c r="E26" s="24">
        <v>2</v>
      </c>
      <c r="F26" s="24">
        <v>2</v>
      </c>
      <c r="G26" s="23" t="s">
        <v>47</v>
      </c>
    </row>
    <row r="27" spans="1:7" ht="30" customHeight="1" x14ac:dyDescent="0.3">
      <c r="A27" s="19" t="s">
        <v>161</v>
      </c>
      <c r="B27" s="19" t="s">
        <v>164</v>
      </c>
      <c r="C27" s="23" t="s">
        <v>172</v>
      </c>
      <c r="D27" s="23"/>
      <c r="E27" s="24">
        <v>3</v>
      </c>
      <c r="F27" s="24">
        <v>3</v>
      </c>
      <c r="G27" s="23" t="s">
        <v>47</v>
      </c>
    </row>
    <row r="28" spans="1:7" ht="30" customHeight="1" x14ac:dyDescent="0.3">
      <c r="A28" s="19" t="s">
        <v>169</v>
      </c>
      <c r="B28" s="19" t="s">
        <v>165</v>
      </c>
      <c r="C28" s="23" t="s">
        <v>173</v>
      </c>
      <c r="D28" s="23"/>
      <c r="E28" s="24">
        <v>3</v>
      </c>
      <c r="F28" s="24">
        <v>3</v>
      </c>
      <c r="G28" s="23" t="s">
        <v>47</v>
      </c>
    </row>
    <row r="29" spans="1:7" ht="30" customHeight="1" x14ac:dyDescent="0.3">
      <c r="A29" s="22" t="s">
        <v>169</v>
      </c>
      <c r="B29" s="19" t="s">
        <v>166</v>
      </c>
      <c r="C29" s="23" t="s">
        <v>174</v>
      </c>
      <c r="D29" s="23"/>
      <c r="E29" s="24">
        <v>2</v>
      </c>
      <c r="F29" s="24">
        <v>2</v>
      </c>
      <c r="G29" s="23" t="s">
        <v>47</v>
      </c>
    </row>
    <row r="30" spans="1:7" ht="30" customHeight="1" x14ac:dyDescent="0.3">
      <c r="A30" s="25" t="s">
        <v>169</v>
      </c>
      <c r="B30" s="19" t="s">
        <v>167</v>
      </c>
      <c r="C30" s="26" t="s">
        <v>175</v>
      </c>
      <c r="D30" s="26"/>
      <c r="E30" s="27">
        <v>2</v>
      </c>
      <c r="F30" s="27">
        <v>2</v>
      </c>
      <c r="G30" s="26" t="s">
        <v>47</v>
      </c>
    </row>
    <row r="31" spans="1:7" ht="30" customHeight="1" x14ac:dyDescent="0.3">
      <c r="A31" s="25" t="s">
        <v>169</v>
      </c>
      <c r="B31" s="19" t="s">
        <v>168</v>
      </c>
      <c r="C31" s="26" t="s">
        <v>176</v>
      </c>
      <c r="D31" s="26"/>
      <c r="E31" s="27">
        <v>1</v>
      </c>
      <c r="F31" s="27">
        <v>1</v>
      </c>
      <c r="G31" s="26" t="s">
        <v>47</v>
      </c>
    </row>
    <row r="32" spans="1:7" x14ac:dyDescent="0.3">
      <c r="A32" s="28" t="s">
        <v>57</v>
      </c>
      <c r="B32" s="29"/>
      <c r="C32" s="30" t="s">
        <v>177</v>
      </c>
      <c r="D32" s="29"/>
      <c r="E32" s="28">
        <v>21</v>
      </c>
      <c r="F32" s="28">
        <v>21</v>
      </c>
      <c r="G32" s="29"/>
    </row>
    <row r="34" spans="1:2" x14ac:dyDescent="0.3">
      <c r="A34" s="3" t="s">
        <v>59</v>
      </c>
    </row>
    <row r="35" spans="1:2" x14ac:dyDescent="0.3">
      <c r="A35" s="31" t="s">
        <v>47</v>
      </c>
      <c r="B35" s="9" t="s">
        <v>60</v>
      </c>
    </row>
    <row r="36" spans="1:2" x14ac:dyDescent="0.3">
      <c r="A36" s="32" t="s">
        <v>61</v>
      </c>
      <c r="B36" s="9" t="s">
        <v>62</v>
      </c>
    </row>
    <row r="37" spans="1:2" x14ac:dyDescent="0.3">
      <c r="A37" s="17" t="s">
        <v>63</v>
      </c>
      <c r="B37" s="9" t="s">
        <v>64</v>
      </c>
    </row>
    <row r="38" spans="1:2" x14ac:dyDescent="0.3">
      <c r="A38" s="16" t="s">
        <v>65</v>
      </c>
      <c r="B38" s="9" t="s">
        <v>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showGridLines="0" workbookViewId="0">
      <pane ySplit="19" topLeftCell="A26" activePane="bottomLeft" state="frozen"/>
      <selection pane="bottomLeft" activeCell="A27" sqref="A27"/>
    </sheetView>
  </sheetViews>
  <sheetFormatPr baseColWidth="10" defaultColWidth="8.88671875" defaultRowHeight="14.4" x14ac:dyDescent="0.3"/>
  <cols>
    <col min="1" max="1" width="57.6640625" bestFit="1" customWidth="1"/>
    <col min="2" max="2" width="110" bestFit="1" customWidth="1"/>
    <col min="3" max="3" width="88.21875" bestFit="1" customWidth="1"/>
    <col min="4" max="4" width="13" customWidth="1"/>
    <col min="5" max="5" width="10" customWidth="1"/>
    <col min="6" max="7" width="11" customWidth="1"/>
  </cols>
  <sheetData>
    <row r="1" spans="1:2" ht="23.4" x14ac:dyDescent="0.45">
      <c r="A1" s="13" t="s">
        <v>145</v>
      </c>
    </row>
    <row r="2" spans="1:2" x14ac:dyDescent="0.3">
      <c r="A2" s="9" t="s">
        <v>18</v>
      </c>
    </row>
    <row r="4" spans="1:2" ht="15.6" x14ac:dyDescent="0.3">
      <c r="A4" s="8" t="s">
        <v>19</v>
      </c>
    </row>
    <row r="5" spans="1:2" ht="22.05" customHeight="1" x14ac:dyDescent="0.3">
      <c r="A5" s="14" t="s">
        <v>20</v>
      </c>
      <c r="B5" s="15" t="s">
        <v>195</v>
      </c>
    </row>
    <row r="6" spans="1:2" ht="22.05" customHeight="1" x14ac:dyDescent="0.3">
      <c r="A6" s="14" t="s">
        <v>22</v>
      </c>
      <c r="B6" s="15" t="s">
        <v>196</v>
      </c>
    </row>
    <row r="7" spans="1:2" ht="22.05" customHeight="1" x14ac:dyDescent="0.3">
      <c r="A7" s="14" t="s">
        <v>23</v>
      </c>
      <c r="B7" s="15" t="s">
        <v>24</v>
      </c>
    </row>
    <row r="8" spans="1:2" ht="22.05" customHeight="1" x14ac:dyDescent="0.3">
      <c r="A8" s="14" t="s">
        <v>25</v>
      </c>
      <c r="B8" s="15" t="s">
        <v>149</v>
      </c>
    </row>
    <row r="9" spans="1:2" ht="22.05" customHeight="1" x14ac:dyDescent="0.3">
      <c r="A9" s="14" t="s">
        <v>27</v>
      </c>
      <c r="B9" s="15" t="s">
        <v>116</v>
      </c>
    </row>
    <row r="10" spans="1:2" ht="22.05" customHeight="1" x14ac:dyDescent="0.3">
      <c r="A10" s="14" t="s">
        <v>28</v>
      </c>
      <c r="B10" s="15" t="s">
        <v>197</v>
      </c>
    </row>
    <row r="11" spans="1:2" ht="22.05" customHeight="1" x14ac:dyDescent="0.3">
      <c r="A11" s="14" t="s">
        <v>29</v>
      </c>
      <c r="B11" s="15" t="s">
        <v>114</v>
      </c>
    </row>
    <row r="12" spans="1:2" ht="22.05" customHeight="1" x14ac:dyDescent="0.3">
      <c r="A12" s="14" t="s">
        <v>30</v>
      </c>
      <c r="B12" s="15" t="s">
        <v>115</v>
      </c>
    </row>
    <row r="14" spans="1:2" x14ac:dyDescent="0.3">
      <c r="A14" s="3" t="s">
        <v>31</v>
      </c>
      <c r="B14" s="9" t="s">
        <v>32</v>
      </c>
    </row>
    <row r="15" spans="1:2" x14ac:dyDescent="0.3">
      <c r="A15" s="3" t="s">
        <v>33</v>
      </c>
      <c r="B15" s="9" t="s">
        <v>34</v>
      </c>
    </row>
    <row r="16" spans="1:2" x14ac:dyDescent="0.3">
      <c r="A16" s="16" t="s">
        <v>35</v>
      </c>
      <c r="B16" s="9" t="s">
        <v>36</v>
      </c>
    </row>
    <row r="17" spans="1:7" x14ac:dyDescent="0.3">
      <c r="A17" s="17" t="s">
        <v>37</v>
      </c>
      <c r="B17" s="9" t="s">
        <v>38</v>
      </c>
    </row>
    <row r="19" spans="1:7" x14ac:dyDescent="0.3">
      <c r="A19" s="18" t="s">
        <v>39</v>
      </c>
      <c r="B19" s="18" t="s">
        <v>40</v>
      </c>
      <c r="C19" s="18" t="s">
        <v>41</v>
      </c>
      <c r="D19" s="18" t="s">
        <v>42</v>
      </c>
      <c r="E19" s="18" t="s">
        <v>43</v>
      </c>
      <c r="F19" s="18" t="s">
        <v>44</v>
      </c>
      <c r="G19" s="18" t="s">
        <v>14</v>
      </c>
    </row>
    <row r="20" spans="1:7" ht="30" customHeight="1" x14ac:dyDescent="0.3">
      <c r="A20" s="19" t="s">
        <v>198</v>
      </c>
      <c r="B20" s="19" t="s">
        <v>203</v>
      </c>
      <c r="C20" s="20" t="s">
        <v>212</v>
      </c>
      <c r="D20" s="20"/>
      <c r="E20" s="21">
        <v>2</v>
      </c>
      <c r="F20" s="21">
        <v>2</v>
      </c>
      <c r="G20" s="20" t="s">
        <v>47</v>
      </c>
    </row>
    <row r="21" spans="1:7" ht="30" customHeight="1" x14ac:dyDescent="0.3">
      <c r="A21" s="19" t="s">
        <v>198</v>
      </c>
      <c r="B21" s="19" t="s">
        <v>204</v>
      </c>
      <c r="C21" s="20" t="s">
        <v>213</v>
      </c>
      <c r="D21" s="20"/>
      <c r="E21" s="21">
        <v>2</v>
      </c>
      <c r="F21" s="21">
        <v>2</v>
      </c>
      <c r="G21" s="20" t="s">
        <v>47</v>
      </c>
    </row>
    <row r="22" spans="1:7" ht="30" customHeight="1" x14ac:dyDescent="0.3">
      <c r="A22" s="19" t="s">
        <v>198</v>
      </c>
      <c r="B22" s="19" t="s">
        <v>205</v>
      </c>
      <c r="C22" s="20" t="s">
        <v>214</v>
      </c>
      <c r="D22" s="20"/>
      <c r="E22" s="21">
        <v>1</v>
      </c>
      <c r="F22" s="21">
        <v>1</v>
      </c>
      <c r="G22" s="20" t="s">
        <v>47</v>
      </c>
    </row>
    <row r="23" spans="1:7" ht="30" customHeight="1" x14ac:dyDescent="0.3">
      <c r="A23" s="19" t="s">
        <v>199</v>
      </c>
      <c r="B23" s="19" t="s">
        <v>206</v>
      </c>
      <c r="C23" s="20" t="s">
        <v>215</v>
      </c>
      <c r="D23" s="20"/>
      <c r="E23" s="21">
        <v>3</v>
      </c>
      <c r="F23" s="21">
        <v>3</v>
      </c>
      <c r="G23" s="20" t="s">
        <v>47</v>
      </c>
    </row>
    <row r="24" spans="1:7" ht="30" customHeight="1" x14ac:dyDescent="0.3">
      <c r="A24" s="19" t="s">
        <v>199</v>
      </c>
      <c r="B24" s="19" t="s">
        <v>207</v>
      </c>
      <c r="C24" s="20" t="s">
        <v>216</v>
      </c>
      <c r="D24" s="20"/>
      <c r="E24" s="20">
        <v>2</v>
      </c>
      <c r="F24" s="20">
        <v>2</v>
      </c>
      <c r="G24" s="20" t="s">
        <v>47</v>
      </c>
    </row>
    <row r="25" spans="1:7" ht="30" customHeight="1" x14ac:dyDescent="0.3">
      <c r="A25" s="19" t="s">
        <v>200</v>
      </c>
      <c r="B25" s="19" t="s">
        <v>208</v>
      </c>
      <c r="C25" s="20" t="s">
        <v>217</v>
      </c>
      <c r="D25" s="20"/>
      <c r="E25" s="20">
        <v>3</v>
      </c>
      <c r="F25" s="20">
        <v>3</v>
      </c>
      <c r="G25" s="20" t="s">
        <v>47</v>
      </c>
    </row>
    <row r="26" spans="1:7" ht="30" customHeight="1" x14ac:dyDescent="0.3">
      <c r="A26" s="19" t="s">
        <v>200</v>
      </c>
      <c r="B26" s="19" t="s">
        <v>209</v>
      </c>
      <c r="C26" s="20" t="s">
        <v>218</v>
      </c>
      <c r="D26" s="20"/>
      <c r="E26" s="20">
        <v>2</v>
      </c>
      <c r="F26" s="20">
        <v>2</v>
      </c>
      <c r="G26" s="20" t="s">
        <v>47</v>
      </c>
    </row>
    <row r="27" spans="1:7" ht="30" customHeight="1" x14ac:dyDescent="0.3">
      <c r="A27" s="19" t="s">
        <v>202</v>
      </c>
      <c r="B27" s="19" t="s">
        <v>210</v>
      </c>
      <c r="C27" s="20" t="s">
        <v>219</v>
      </c>
      <c r="D27" s="20"/>
      <c r="E27" s="20">
        <v>3</v>
      </c>
      <c r="F27" s="20">
        <v>3</v>
      </c>
      <c r="G27" s="20" t="s">
        <v>47</v>
      </c>
    </row>
    <row r="28" spans="1:7" ht="30" customHeight="1" x14ac:dyDescent="0.3">
      <c r="A28" s="19" t="s">
        <v>202</v>
      </c>
      <c r="B28" s="19" t="s">
        <v>211</v>
      </c>
      <c r="C28" s="20" t="s">
        <v>220</v>
      </c>
      <c r="D28" s="20"/>
      <c r="E28" s="20">
        <v>3</v>
      </c>
      <c r="F28" s="20">
        <v>3</v>
      </c>
      <c r="G28" s="20" t="s">
        <v>47</v>
      </c>
    </row>
    <row r="29" spans="1:7" x14ac:dyDescent="0.3">
      <c r="A29" s="28" t="s">
        <v>57</v>
      </c>
      <c r="B29" s="29"/>
      <c r="C29" s="30" t="s">
        <v>221</v>
      </c>
      <c r="D29" s="29"/>
      <c r="E29" s="28">
        <v>21</v>
      </c>
      <c r="F29" s="28">
        <v>21</v>
      </c>
      <c r="G29" s="29"/>
    </row>
    <row r="31" spans="1:7" x14ac:dyDescent="0.3">
      <c r="A31" s="3" t="s">
        <v>59</v>
      </c>
    </row>
    <row r="32" spans="1:7" x14ac:dyDescent="0.3">
      <c r="A32" s="31" t="s">
        <v>47</v>
      </c>
      <c r="B32" s="9" t="s">
        <v>60</v>
      </c>
    </row>
    <row r="33" spans="1:2" x14ac:dyDescent="0.3">
      <c r="A33" s="32" t="s">
        <v>61</v>
      </c>
      <c r="B33" s="9" t="s">
        <v>62</v>
      </c>
    </row>
    <row r="34" spans="1:2" x14ac:dyDescent="0.3">
      <c r="A34" s="17" t="s">
        <v>63</v>
      </c>
      <c r="B34" s="9" t="s">
        <v>64</v>
      </c>
    </row>
    <row r="35" spans="1:2" x14ac:dyDescent="0.3">
      <c r="A35" s="16" t="s">
        <v>65</v>
      </c>
      <c r="B35" s="9" t="s">
        <v>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showGridLines="0" topLeftCell="C1" workbookViewId="0">
      <pane ySplit="19" topLeftCell="A28" activePane="bottomLeft" state="frozen"/>
      <selection pane="bottomLeft" activeCell="C29" sqref="C29"/>
    </sheetView>
  </sheetViews>
  <sheetFormatPr baseColWidth="10" defaultColWidth="8.88671875" defaultRowHeight="14.4" x14ac:dyDescent="0.3"/>
  <cols>
    <col min="1" max="1" width="57.6640625" bestFit="1" customWidth="1"/>
    <col min="2" max="2" width="110" bestFit="1" customWidth="1"/>
    <col min="3" max="3" width="88.21875" bestFit="1" customWidth="1"/>
    <col min="4" max="4" width="13" customWidth="1"/>
    <col min="5" max="5" width="10" customWidth="1"/>
    <col min="6" max="7" width="11" customWidth="1"/>
  </cols>
  <sheetData>
    <row r="1" spans="1:2" ht="23.4" x14ac:dyDescent="0.45">
      <c r="A1" s="13" t="s">
        <v>145</v>
      </c>
    </row>
    <row r="2" spans="1:2" x14ac:dyDescent="0.3">
      <c r="A2" s="9" t="s">
        <v>18</v>
      </c>
    </row>
    <row r="4" spans="1:2" ht="15.6" x14ac:dyDescent="0.3">
      <c r="A4" s="8" t="s">
        <v>19</v>
      </c>
    </row>
    <row r="5" spans="1:2" ht="22.05" customHeight="1" x14ac:dyDescent="0.3">
      <c r="A5" s="14" t="s">
        <v>20</v>
      </c>
      <c r="B5" s="15" t="s">
        <v>232</v>
      </c>
    </row>
    <row r="6" spans="1:2" ht="22.05" customHeight="1" x14ac:dyDescent="0.3">
      <c r="A6" s="14" t="s">
        <v>22</v>
      </c>
      <c r="B6" s="15" t="s">
        <v>233</v>
      </c>
    </row>
    <row r="7" spans="1:2" ht="22.05" customHeight="1" x14ac:dyDescent="0.3">
      <c r="A7" s="14" t="s">
        <v>23</v>
      </c>
      <c r="B7" s="15" t="s">
        <v>24</v>
      </c>
    </row>
    <row r="8" spans="1:2" ht="22.05" customHeight="1" x14ac:dyDescent="0.3">
      <c r="A8" s="14" t="s">
        <v>25</v>
      </c>
      <c r="B8" s="15" t="s">
        <v>26</v>
      </c>
    </row>
    <row r="9" spans="1:2" ht="22.05" customHeight="1" x14ac:dyDescent="0.3">
      <c r="A9" s="14" t="s">
        <v>27</v>
      </c>
      <c r="B9" s="15" t="s">
        <v>116</v>
      </c>
    </row>
    <row r="10" spans="1:2" ht="27.6" x14ac:dyDescent="0.3">
      <c r="A10" s="14" t="s">
        <v>28</v>
      </c>
      <c r="B10" s="15" t="s">
        <v>234</v>
      </c>
    </row>
    <row r="11" spans="1:2" ht="22.05" customHeight="1" x14ac:dyDescent="0.3">
      <c r="A11" s="14" t="s">
        <v>29</v>
      </c>
      <c r="B11" s="15" t="s">
        <v>114</v>
      </c>
    </row>
    <row r="12" spans="1:2" ht="22.05" customHeight="1" x14ac:dyDescent="0.3">
      <c r="A12" s="14" t="s">
        <v>30</v>
      </c>
      <c r="B12" s="15" t="s">
        <v>115</v>
      </c>
    </row>
    <row r="14" spans="1:2" x14ac:dyDescent="0.3">
      <c r="A14" s="3" t="s">
        <v>31</v>
      </c>
      <c r="B14" s="9" t="s">
        <v>32</v>
      </c>
    </row>
    <row r="15" spans="1:2" x14ac:dyDescent="0.3">
      <c r="A15" s="3" t="s">
        <v>33</v>
      </c>
      <c r="B15" s="9" t="s">
        <v>34</v>
      </c>
    </row>
    <row r="16" spans="1:2" x14ac:dyDescent="0.3">
      <c r="A16" s="16" t="s">
        <v>35</v>
      </c>
      <c r="B16" s="9" t="s">
        <v>36</v>
      </c>
    </row>
    <row r="17" spans="1:7" x14ac:dyDescent="0.3">
      <c r="A17" s="17" t="s">
        <v>37</v>
      </c>
      <c r="B17" s="9" t="s">
        <v>38</v>
      </c>
    </row>
    <row r="19" spans="1:7" x14ac:dyDescent="0.3">
      <c r="A19" s="18" t="s">
        <v>39</v>
      </c>
      <c r="B19" s="18" t="s">
        <v>40</v>
      </c>
      <c r="C19" s="18" t="s">
        <v>41</v>
      </c>
      <c r="D19" s="18" t="s">
        <v>42</v>
      </c>
      <c r="E19" s="18" t="s">
        <v>43</v>
      </c>
      <c r="F19" s="18" t="s">
        <v>44</v>
      </c>
      <c r="G19" s="18" t="s">
        <v>14</v>
      </c>
    </row>
    <row r="20" spans="1:7" ht="30" customHeight="1" x14ac:dyDescent="0.3">
      <c r="A20" s="19" t="s">
        <v>201</v>
      </c>
      <c r="B20" s="19" t="s">
        <v>240</v>
      </c>
      <c r="C20" s="20" t="s">
        <v>251</v>
      </c>
      <c r="D20" s="20"/>
      <c r="E20" s="21">
        <v>2</v>
      </c>
      <c r="F20" s="21">
        <v>2</v>
      </c>
      <c r="G20" s="20" t="s">
        <v>47</v>
      </c>
    </row>
    <row r="21" spans="1:7" ht="30" customHeight="1" x14ac:dyDescent="0.3">
      <c r="A21" s="19" t="s">
        <v>201</v>
      </c>
      <c r="B21" s="19" t="s">
        <v>241</v>
      </c>
      <c r="C21" s="20" t="s">
        <v>252</v>
      </c>
      <c r="D21" s="20"/>
      <c r="E21" s="21">
        <v>1</v>
      </c>
      <c r="F21" s="21">
        <v>1</v>
      </c>
      <c r="G21" s="20" t="s">
        <v>47</v>
      </c>
    </row>
    <row r="22" spans="1:7" ht="30" customHeight="1" x14ac:dyDescent="0.3">
      <c r="A22" s="19" t="s">
        <v>235</v>
      </c>
      <c r="B22" s="19" t="s">
        <v>242</v>
      </c>
      <c r="C22" s="20" t="s">
        <v>253</v>
      </c>
      <c r="D22" s="20"/>
      <c r="E22" s="21">
        <v>3</v>
      </c>
      <c r="F22" s="21">
        <v>3</v>
      </c>
      <c r="G22" s="20" t="s">
        <v>47</v>
      </c>
    </row>
    <row r="23" spans="1:7" ht="30" customHeight="1" x14ac:dyDescent="0.3">
      <c r="A23" s="19" t="s">
        <v>235</v>
      </c>
      <c r="B23" s="19" t="s">
        <v>243</v>
      </c>
      <c r="C23" s="20" t="s">
        <v>254</v>
      </c>
      <c r="D23" s="20"/>
      <c r="E23" s="21">
        <v>2</v>
      </c>
      <c r="F23" s="21">
        <v>2</v>
      </c>
      <c r="G23" s="20" t="s">
        <v>47</v>
      </c>
    </row>
    <row r="24" spans="1:7" ht="30" customHeight="1" x14ac:dyDescent="0.3">
      <c r="A24" s="19" t="s">
        <v>236</v>
      </c>
      <c r="B24" s="19" t="s">
        <v>244</v>
      </c>
      <c r="C24" s="20" t="s">
        <v>255</v>
      </c>
      <c r="D24" s="20"/>
      <c r="E24" s="20">
        <v>3</v>
      </c>
      <c r="F24" s="20">
        <v>3</v>
      </c>
      <c r="G24" s="20" t="s">
        <v>47</v>
      </c>
    </row>
    <row r="25" spans="1:7" ht="30" customHeight="1" x14ac:dyDescent="0.3">
      <c r="A25" s="19" t="s">
        <v>237</v>
      </c>
      <c r="B25" s="19" t="s">
        <v>245</v>
      </c>
      <c r="C25" s="20" t="s">
        <v>256</v>
      </c>
      <c r="D25" s="20"/>
      <c r="E25" s="20">
        <v>3</v>
      </c>
      <c r="F25" s="20">
        <v>3</v>
      </c>
      <c r="G25" s="20" t="s">
        <v>47</v>
      </c>
    </row>
    <row r="26" spans="1:7" ht="30" customHeight="1" x14ac:dyDescent="0.3">
      <c r="A26" s="19" t="s">
        <v>238</v>
      </c>
      <c r="B26" s="19" t="s">
        <v>246</v>
      </c>
      <c r="C26" s="20" t="s">
        <v>257</v>
      </c>
      <c r="D26" s="20"/>
      <c r="E26" s="20">
        <v>2</v>
      </c>
      <c r="F26" s="20">
        <v>2</v>
      </c>
      <c r="G26" s="20" t="s">
        <v>47</v>
      </c>
    </row>
    <row r="27" spans="1:7" ht="30" customHeight="1" x14ac:dyDescent="0.3">
      <c r="A27" s="19" t="s">
        <v>238</v>
      </c>
      <c r="B27" s="19" t="s">
        <v>247</v>
      </c>
      <c r="C27" s="20" t="s">
        <v>258</v>
      </c>
      <c r="D27" s="20"/>
      <c r="E27" s="20">
        <v>3</v>
      </c>
      <c r="F27" s="20">
        <v>3</v>
      </c>
      <c r="G27" s="20" t="s">
        <v>47</v>
      </c>
    </row>
    <row r="28" spans="1:7" ht="30" customHeight="1" x14ac:dyDescent="0.3">
      <c r="A28" s="19" t="s">
        <v>239</v>
      </c>
      <c r="B28" s="19" t="s">
        <v>248</v>
      </c>
      <c r="C28" s="20" t="s">
        <v>259</v>
      </c>
      <c r="D28" s="20"/>
      <c r="E28" s="20">
        <v>4</v>
      </c>
      <c r="F28" s="20">
        <v>4</v>
      </c>
      <c r="G28" s="20" t="s">
        <v>47</v>
      </c>
    </row>
    <row r="29" spans="1:7" ht="30" customHeight="1" x14ac:dyDescent="0.3">
      <c r="A29" s="19" t="s">
        <v>239</v>
      </c>
      <c r="B29" s="19" t="s">
        <v>249</v>
      </c>
      <c r="C29" s="20" t="s">
        <v>220</v>
      </c>
      <c r="D29" s="20"/>
      <c r="E29" s="20">
        <v>2</v>
      </c>
      <c r="F29" s="20">
        <v>2</v>
      </c>
      <c r="G29" s="20" t="s">
        <v>47</v>
      </c>
    </row>
    <row r="30" spans="1:7" x14ac:dyDescent="0.3">
      <c r="A30" s="28" t="s">
        <v>57</v>
      </c>
      <c r="B30" s="29"/>
      <c r="C30" s="30" t="s">
        <v>250</v>
      </c>
      <c r="D30" s="29"/>
      <c r="E30" s="28">
        <v>25</v>
      </c>
      <c r="F30" s="28">
        <v>25</v>
      </c>
      <c r="G30" s="29"/>
    </row>
    <row r="32" spans="1:7" x14ac:dyDescent="0.3">
      <c r="A32" s="3" t="s">
        <v>59</v>
      </c>
    </row>
    <row r="33" spans="1:2" x14ac:dyDescent="0.3">
      <c r="A33" s="31" t="s">
        <v>47</v>
      </c>
      <c r="B33" s="9" t="s">
        <v>60</v>
      </c>
    </row>
    <row r="34" spans="1:2" x14ac:dyDescent="0.3">
      <c r="A34" s="32" t="s">
        <v>61</v>
      </c>
      <c r="B34" s="9" t="s">
        <v>62</v>
      </c>
    </row>
    <row r="35" spans="1:2" x14ac:dyDescent="0.3">
      <c r="A35" s="17" t="s">
        <v>63</v>
      </c>
      <c r="B35" s="9" t="s">
        <v>64</v>
      </c>
    </row>
    <row r="36" spans="1:2" x14ac:dyDescent="0.3">
      <c r="A36" s="16" t="s">
        <v>65</v>
      </c>
      <c r="B36" s="9" t="s">
        <v>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showGridLines="0" zoomScale="85" workbookViewId="0">
      <selection activeCell="D13" sqref="D13"/>
    </sheetView>
  </sheetViews>
  <sheetFormatPr baseColWidth="10" defaultColWidth="8.88671875" defaultRowHeight="14.4" x14ac:dyDescent="0.3"/>
  <cols>
    <col min="1" max="1" width="28" customWidth="1"/>
    <col min="2" max="3" width="22" customWidth="1"/>
    <col min="4" max="4" width="14" customWidth="1"/>
    <col min="5" max="5" width="35" customWidth="1"/>
  </cols>
  <sheetData>
    <row r="1" spans="1:5" ht="23.4" x14ac:dyDescent="0.45">
      <c r="A1" s="13" t="s">
        <v>67</v>
      </c>
    </row>
    <row r="2" spans="1:5" x14ac:dyDescent="0.3">
      <c r="A2" s="9" t="s">
        <v>68</v>
      </c>
    </row>
    <row r="4" spans="1:5" x14ac:dyDescent="0.3">
      <c r="A4" s="3" t="s">
        <v>69</v>
      </c>
      <c r="B4" s="9" t="s">
        <v>70</v>
      </c>
    </row>
    <row r="5" spans="1:5" x14ac:dyDescent="0.3">
      <c r="A5" s="3" t="s">
        <v>71</v>
      </c>
      <c r="B5" s="9" t="s">
        <v>72</v>
      </c>
    </row>
    <row r="7" spans="1:5" x14ac:dyDescent="0.3">
      <c r="A7" s="18" t="s">
        <v>73</v>
      </c>
      <c r="B7" s="18" t="s">
        <v>74</v>
      </c>
      <c r="C7" s="18" t="s">
        <v>75</v>
      </c>
      <c r="D7" s="18" t="s">
        <v>76</v>
      </c>
      <c r="E7" s="18" t="s">
        <v>77</v>
      </c>
    </row>
    <row r="8" spans="1:5" ht="27.6" x14ac:dyDescent="0.3">
      <c r="A8" s="33" t="s">
        <v>78</v>
      </c>
      <c r="B8" s="34">
        <v>20</v>
      </c>
      <c r="C8" s="34">
        <v>20</v>
      </c>
      <c r="D8" s="34">
        <v>0</v>
      </c>
      <c r="E8" s="15" t="s">
        <v>132</v>
      </c>
    </row>
    <row r="9" spans="1:5" ht="25.05" customHeight="1" x14ac:dyDescent="0.3">
      <c r="A9" s="33" t="s">
        <v>79</v>
      </c>
      <c r="B9" s="34">
        <v>15</v>
      </c>
      <c r="C9" s="34">
        <v>13</v>
      </c>
      <c r="D9" s="34">
        <v>-2</v>
      </c>
      <c r="E9" s="15" t="s">
        <v>80</v>
      </c>
    </row>
    <row r="10" spans="1:5" ht="25.05" customHeight="1" x14ac:dyDescent="0.3">
      <c r="A10" s="33" t="s">
        <v>81</v>
      </c>
      <c r="B10" s="34">
        <v>10</v>
      </c>
      <c r="C10" s="34">
        <v>9</v>
      </c>
      <c r="D10" s="34">
        <v>-1</v>
      </c>
      <c r="E10" s="15" t="s">
        <v>82</v>
      </c>
    </row>
    <row r="11" spans="1:5" ht="25.05" customHeight="1" x14ac:dyDescent="0.3">
      <c r="A11" s="33" t="s">
        <v>83</v>
      </c>
      <c r="B11" s="34">
        <v>5</v>
      </c>
      <c r="C11" s="34">
        <v>5</v>
      </c>
      <c r="D11" s="34">
        <v>0</v>
      </c>
      <c r="E11" s="15" t="s">
        <v>84</v>
      </c>
    </row>
    <row r="12" spans="1:5" ht="25.05" customHeight="1" x14ac:dyDescent="0.3">
      <c r="A12" s="33" t="s">
        <v>85</v>
      </c>
      <c r="B12" s="34">
        <v>0</v>
      </c>
      <c r="C12" s="34">
        <v>0</v>
      </c>
      <c r="D12" s="34">
        <v>0</v>
      </c>
      <c r="E12" s="15" t="s">
        <v>86</v>
      </c>
    </row>
    <row r="15" spans="1:5" x14ac:dyDescent="0.3">
      <c r="A15" s="3" t="s">
        <v>87</v>
      </c>
      <c r="B15" s="7" t="s">
        <v>88</v>
      </c>
    </row>
    <row r="17" spans="1:2" x14ac:dyDescent="0.3">
      <c r="A17" s="3" t="s">
        <v>89</v>
      </c>
    </row>
    <row r="18" spans="1:2" x14ac:dyDescent="0.3">
      <c r="A18" s="16" t="s">
        <v>90</v>
      </c>
      <c r="B18" s="9" t="s">
        <v>91</v>
      </c>
    </row>
    <row r="19" spans="1:2" x14ac:dyDescent="0.3">
      <c r="A19" s="32" t="s">
        <v>92</v>
      </c>
      <c r="B19" s="9" t="s">
        <v>93</v>
      </c>
    </row>
    <row r="20" spans="1:2" x14ac:dyDescent="0.3">
      <c r="A20" s="16" t="s">
        <v>94</v>
      </c>
      <c r="B20" s="9" t="s">
        <v>95</v>
      </c>
    </row>
    <row r="21" spans="1:2" x14ac:dyDescent="0.3">
      <c r="A21" s="17" t="s">
        <v>96</v>
      </c>
      <c r="B21" s="9" t="s">
        <v>97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showGridLines="0" topLeftCell="A14" zoomScale="85" workbookViewId="0">
      <selection activeCell="E28" sqref="E28"/>
    </sheetView>
  </sheetViews>
  <sheetFormatPr baseColWidth="10" defaultColWidth="8.88671875" defaultRowHeight="14.4" x14ac:dyDescent="0.3"/>
  <cols>
    <col min="1" max="1" width="28" customWidth="1"/>
    <col min="2" max="3" width="22" customWidth="1"/>
    <col min="4" max="4" width="14" customWidth="1"/>
    <col min="5" max="5" width="35" customWidth="1"/>
  </cols>
  <sheetData>
    <row r="1" spans="1:5" ht="23.4" x14ac:dyDescent="0.45">
      <c r="A1" s="13" t="s">
        <v>146</v>
      </c>
    </row>
    <row r="2" spans="1:5" x14ac:dyDescent="0.3">
      <c r="A2" s="9" t="s">
        <v>178</v>
      </c>
    </row>
    <row r="4" spans="1:5" x14ac:dyDescent="0.3">
      <c r="A4" s="3" t="s">
        <v>69</v>
      </c>
      <c r="B4" s="9" t="s">
        <v>70</v>
      </c>
    </row>
    <row r="5" spans="1:5" x14ac:dyDescent="0.3">
      <c r="A5" s="3" t="s">
        <v>71</v>
      </c>
      <c r="B5" s="9" t="s">
        <v>72</v>
      </c>
    </row>
    <row r="7" spans="1:5" x14ac:dyDescent="0.3">
      <c r="A7" s="18" t="s">
        <v>73</v>
      </c>
      <c r="B7" s="18" t="s">
        <v>74</v>
      </c>
      <c r="C7" s="18" t="s">
        <v>75</v>
      </c>
      <c r="D7" s="18" t="s">
        <v>76</v>
      </c>
      <c r="E7" s="18" t="s">
        <v>77</v>
      </c>
    </row>
    <row r="8" spans="1:5" ht="27.6" x14ac:dyDescent="0.3">
      <c r="A8" s="33" t="s">
        <v>78</v>
      </c>
      <c r="B8" s="34">
        <v>21</v>
      </c>
      <c r="C8" s="34">
        <v>21</v>
      </c>
      <c r="D8" s="34">
        <v>0</v>
      </c>
      <c r="E8" s="15" t="s">
        <v>179</v>
      </c>
    </row>
    <row r="9" spans="1:5" ht="27.6" x14ac:dyDescent="0.3">
      <c r="A9" s="33" t="s">
        <v>79</v>
      </c>
      <c r="B9" s="34">
        <v>15</v>
      </c>
      <c r="C9" s="34">
        <v>17</v>
      </c>
      <c r="D9" s="34">
        <v>2</v>
      </c>
      <c r="E9" s="15" t="s">
        <v>180</v>
      </c>
    </row>
    <row r="10" spans="1:5" ht="27.6" x14ac:dyDescent="0.3">
      <c r="A10" s="33" t="s">
        <v>81</v>
      </c>
      <c r="B10" s="34">
        <v>9</v>
      </c>
      <c r="C10" s="34">
        <v>10</v>
      </c>
      <c r="D10" s="34">
        <v>1</v>
      </c>
      <c r="E10" s="15" t="s">
        <v>181</v>
      </c>
    </row>
    <row r="11" spans="1:5" ht="27.6" x14ac:dyDescent="0.3">
      <c r="A11" s="33" t="s">
        <v>83</v>
      </c>
      <c r="B11" s="34">
        <v>3</v>
      </c>
      <c r="C11" s="34">
        <v>4</v>
      </c>
      <c r="D11" s="34">
        <v>1</v>
      </c>
      <c r="E11" s="15" t="s">
        <v>182</v>
      </c>
    </row>
    <row r="12" spans="1:5" ht="27.6" x14ac:dyDescent="0.3">
      <c r="A12" s="33" t="s">
        <v>85</v>
      </c>
      <c r="B12" s="34">
        <v>0</v>
      </c>
      <c r="C12" s="34">
        <v>0</v>
      </c>
      <c r="D12" s="34">
        <v>0</v>
      </c>
      <c r="E12" s="15" t="s">
        <v>183</v>
      </c>
    </row>
    <row r="15" spans="1:5" x14ac:dyDescent="0.3">
      <c r="A15" s="3" t="s">
        <v>87</v>
      </c>
      <c r="B15" s="7" t="s">
        <v>88</v>
      </c>
    </row>
    <row r="17" spans="1:2" x14ac:dyDescent="0.3">
      <c r="A17" s="3" t="s">
        <v>89</v>
      </c>
    </row>
    <row r="18" spans="1:2" x14ac:dyDescent="0.3">
      <c r="A18" s="16" t="s">
        <v>90</v>
      </c>
      <c r="B18" s="9" t="s">
        <v>91</v>
      </c>
    </row>
    <row r="19" spans="1:2" x14ac:dyDescent="0.3">
      <c r="A19" s="32" t="s">
        <v>92</v>
      </c>
      <c r="B19" s="9" t="s">
        <v>93</v>
      </c>
    </row>
    <row r="20" spans="1:2" x14ac:dyDescent="0.3">
      <c r="A20" s="16" t="s">
        <v>94</v>
      </c>
      <c r="B20" s="9" t="s">
        <v>95</v>
      </c>
    </row>
    <row r="21" spans="1:2" x14ac:dyDescent="0.3">
      <c r="A21" s="17" t="s">
        <v>96</v>
      </c>
      <c r="B21" s="9" t="s">
        <v>97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showGridLines="0" topLeftCell="A18" zoomScale="85" workbookViewId="0">
      <selection activeCell="E13" sqref="E13"/>
    </sheetView>
  </sheetViews>
  <sheetFormatPr baseColWidth="10" defaultColWidth="8.88671875" defaultRowHeight="14.4" x14ac:dyDescent="0.3"/>
  <cols>
    <col min="1" max="1" width="28" customWidth="1"/>
    <col min="2" max="3" width="22" customWidth="1"/>
    <col min="4" max="4" width="14" customWidth="1"/>
    <col min="5" max="5" width="35" customWidth="1"/>
  </cols>
  <sheetData>
    <row r="1" spans="1:5" ht="23.4" x14ac:dyDescent="0.45">
      <c r="A1" s="13" t="s">
        <v>146</v>
      </c>
    </row>
    <row r="2" spans="1:5" x14ac:dyDescent="0.3">
      <c r="A2" s="9" t="s">
        <v>178</v>
      </c>
    </row>
    <row r="4" spans="1:5" x14ac:dyDescent="0.3">
      <c r="A4" s="3" t="s">
        <v>69</v>
      </c>
      <c r="B4" s="9" t="s">
        <v>70</v>
      </c>
    </row>
    <row r="5" spans="1:5" x14ac:dyDescent="0.3">
      <c r="A5" s="3" t="s">
        <v>71</v>
      </c>
      <c r="B5" s="9" t="s">
        <v>72</v>
      </c>
    </row>
    <row r="7" spans="1:5" x14ac:dyDescent="0.3">
      <c r="A7" s="18" t="s">
        <v>73</v>
      </c>
      <c r="B7" s="18" t="s">
        <v>74</v>
      </c>
      <c r="C7" s="18" t="s">
        <v>75</v>
      </c>
      <c r="D7" s="18" t="s">
        <v>76</v>
      </c>
      <c r="E7" s="18" t="s">
        <v>77</v>
      </c>
    </row>
    <row r="8" spans="1:5" x14ac:dyDescent="0.3">
      <c r="A8" s="33" t="s">
        <v>222</v>
      </c>
      <c r="B8" s="34">
        <v>21</v>
      </c>
      <c r="C8" s="34">
        <v>21</v>
      </c>
      <c r="D8" s="34">
        <v>0</v>
      </c>
      <c r="E8" s="15" t="s">
        <v>227</v>
      </c>
    </row>
    <row r="9" spans="1:5" ht="27.6" x14ac:dyDescent="0.3">
      <c r="A9" s="33" t="s">
        <v>223</v>
      </c>
      <c r="B9" s="34">
        <v>16</v>
      </c>
      <c r="C9" s="34">
        <v>18</v>
      </c>
      <c r="D9" s="34">
        <v>2</v>
      </c>
      <c r="E9" s="15" t="s">
        <v>228</v>
      </c>
    </row>
    <row r="10" spans="1:5" x14ac:dyDescent="0.3">
      <c r="A10" s="33" t="s">
        <v>224</v>
      </c>
      <c r="B10" s="34">
        <v>10</v>
      </c>
      <c r="C10" s="34">
        <v>12</v>
      </c>
      <c r="D10" s="34">
        <v>2</v>
      </c>
      <c r="E10" s="15" t="s">
        <v>229</v>
      </c>
    </row>
    <row r="11" spans="1:5" ht="27.6" x14ac:dyDescent="0.3">
      <c r="A11" s="33" t="s">
        <v>225</v>
      </c>
      <c r="B11" s="34">
        <v>5</v>
      </c>
      <c r="C11" s="34">
        <v>6</v>
      </c>
      <c r="D11" s="34">
        <v>1</v>
      </c>
      <c r="E11" s="15" t="s">
        <v>230</v>
      </c>
    </row>
    <row r="12" spans="1:5" ht="27.6" x14ac:dyDescent="0.3">
      <c r="A12" s="33" t="s">
        <v>226</v>
      </c>
      <c r="B12" s="34">
        <v>0</v>
      </c>
      <c r="C12" s="34">
        <v>2</v>
      </c>
      <c r="D12" s="34">
        <v>2</v>
      </c>
      <c r="E12" s="15" t="s">
        <v>231</v>
      </c>
    </row>
    <row r="15" spans="1:5" x14ac:dyDescent="0.3">
      <c r="A15" s="3" t="s">
        <v>87</v>
      </c>
      <c r="B15" s="7" t="s">
        <v>88</v>
      </c>
    </row>
    <row r="17" spans="1:2" x14ac:dyDescent="0.3">
      <c r="A17" s="3" t="s">
        <v>89</v>
      </c>
    </row>
    <row r="18" spans="1:2" x14ac:dyDescent="0.3">
      <c r="A18" s="16" t="s">
        <v>90</v>
      </c>
      <c r="B18" s="9" t="s">
        <v>91</v>
      </c>
    </row>
    <row r="19" spans="1:2" x14ac:dyDescent="0.3">
      <c r="A19" s="32" t="s">
        <v>92</v>
      </c>
      <c r="B19" s="9" t="s">
        <v>93</v>
      </c>
    </row>
    <row r="20" spans="1:2" x14ac:dyDescent="0.3">
      <c r="A20" s="16" t="s">
        <v>94</v>
      </c>
      <c r="B20" s="9" t="s">
        <v>95</v>
      </c>
    </row>
    <row r="21" spans="1:2" x14ac:dyDescent="0.3">
      <c r="A21" s="17" t="s">
        <v>96</v>
      </c>
      <c r="B21" s="9" t="s">
        <v>97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showGridLines="0" topLeftCell="A20" zoomScale="85" workbookViewId="0">
      <selection activeCell="A42" sqref="A42"/>
    </sheetView>
  </sheetViews>
  <sheetFormatPr baseColWidth="10" defaultColWidth="8.88671875" defaultRowHeight="14.4" x14ac:dyDescent="0.3"/>
  <cols>
    <col min="1" max="1" width="28" customWidth="1"/>
    <col min="2" max="3" width="22" customWidth="1"/>
    <col min="4" max="4" width="14" customWidth="1"/>
    <col min="5" max="5" width="35" customWidth="1"/>
  </cols>
  <sheetData>
    <row r="1" spans="1:5" ht="23.4" x14ac:dyDescent="0.45">
      <c r="A1" s="13" t="s">
        <v>146</v>
      </c>
    </row>
    <row r="2" spans="1:5" x14ac:dyDescent="0.3">
      <c r="A2" s="9" t="s">
        <v>178</v>
      </c>
    </row>
    <row r="4" spans="1:5" x14ac:dyDescent="0.3">
      <c r="A4" s="3" t="s">
        <v>69</v>
      </c>
      <c r="B4" s="9" t="s">
        <v>70</v>
      </c>
    </row>
    <row r="5" spans="1:5" x14ac:dyDescent="0.3">
      <c r="A5" s="3" t="s">
        <v>71</v>
      </c>
      <c r="B5" s="9" t="s">
        <v>72</v>
      </c>
    </row>
    <row r="7" spans="1:5" x14ac:dyDescent="0.3">
      <c r="A7" s="18" t="s">
        <v>73</v>
      </c>
      <c r="B7" s="18" t="s">
        <v>74</v>
      </c>
      <c r="C7" s="18" t="s">
        <v>75</v>
      </c>
      <c r="D7" s="18" t="s">
        <v>76</v>
      </c>
      <c r="E7" s="18" t="s">
        <v>77</v>
      </c>
    </row>
    <row r="8" spans="1:5" ht="27.6" x14ac:dyDescent="0.3">
      <c r="A8" s="33" t="s">
        <v>260</v>
      </c>
      <c r="B8" s="34">
        <v>25</v>
      </c>
      <c r="C8" s="34">
        <v>25</v>
      </c>
      <c r="D8" s="34">
        <v>0</v>
      </c>
      <c r="E8" s="15" t="s">
        <v>266</v>
      </c>
    </row>
    <row r="9" spans="1:5" x14ac:dyDescent="0.3">
      <c r="A9" s="33" t="s">
        <v>261</v>
      </c>
      <c r="B9" s="34">
        <v>19</v>
      </c>
      <c r="C9" s="34">
        <v>20</v>
      </c>
      <c r="D9" s="34">
        <v>1</v>
      </c>
      <c r="E9" s="15" t="s">
        <v>267</v>
      </c>
    </row>
    <row r="10" spans="1:5" ht="27.6" x14ac:dyDescent="0.3">
      <c r="A10" s="33" t="s">
        <v>262</v>
      </c>
      <c r="B10" s="34">
        <v>13</v>
      </c>
      <c r="C10" s="34">
        <v>14</v>
      </c>
      <c r="D10" s="34">
        <v>1</v>
      </c>
      <c r="E10" s="15" t="s">
        <v>268</v>
      </c>
    </row>
    <row r="11" spans="1:5" x14ac:dyDescent="0.3">
      <c r="A11" s="33" t="s">
        <v>263</v>
      </c>
      <c r="B11" s="34">
        <v>6</v>
      </c>
      <c r="C11" s="34">
        <v>7</v>
      </c>
      <c r="D11" s="34">
        <v>1</v>
      </c>
      <c r="E11" s="15" t="s">
        <v>269</v>
      </c>
    </row>
    <row r="12" spans="1:5" ht="27.6" x14ac:dyDescent="0.3">
      <c r="A12" s="33" t="s">
        <v>264</v>
      </c>
      <c r="B12" s="34">
        <v>0</v>
      </c>
      <c r="C12" s="34">
        <v>1</v>
      </c>
      <c r="D12" s="34">
        <v>1</v>
      </c>
      <c r="E12" s="15" t="s">
        <v>265</v>
      </c>
    </row>
    <row r="15" spans="1:5" x14ac:dyDescent="0.3">
      <c r="A15" s="3" t="s">
        <v>87</v>
      </c>
      <c r="B15" s="7" t="s">
        <v>88</v>
      </c>
    </row>
    <row r="17" spans="1:2" x14ac:dyDescent="0.3">
      <c r="A17" s="3" t="s">
        <v>89</v>
      </c>
    </row>
    <row r="18" spans="1:2" x14ac:dyDescent="0.3">
      <c r="A18" s="16" t="s">
        <v>90</v>
      </c>
      <c r="B18" s="9" t="s">
        <v>91</v>
      </c>
    </row>
    <row r="19" spans="1:2" x14ac:dyDescent="0.3">
      <c r="A19" s="32" t="s">
        <v>92</v>
      </c>
      <c r="B19" s="9" t="s">
        <v>93</v>
      </c>
    </row>
    <row r="20" spans="1:2" x14ac:dyDescent="0.3">
      <c r="A20" s="16" t="s">
        <v>94</v>
      </c>
      <c r="B20" s="9" t="s">
        <v>95</v>
      </c>
    </row>
    <row r="21" spans="1:2" x14ac:dyDescent="0.3">
      <c r="A21" s="17" t="s">
        <v>96</v>
      </c>
      <c r="B21" s="9" t="s">
        <v>97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5"/>
  <sheetViews>
    <sheetView tabSelected="1" topLeftCell="A17" workbookViewId="0">
      <selection activeCell="B23" sqref="B23"/>
    </sheetView>
  </sheetViews>
  <sheetFormatPr baseColWidth="10" defaultColWidth="8.88671875"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98</v>
      </c>
    </row>
    <row r="3" spans="1:4" x14ac:dyDescent="0.3">
      <c r="B3" s="9" t="s">
        <v>99</v>
      </c>
    </row>
    <row r="5" spans="1:4" x14ac:dyDescent="0.3">
      <c r="A5" s="18"/>
      <c r="B5" s="18" t="s">
        <v>100</v>
      </c>
      <c r="C5" s="18" t="s">
        <v>101</v>
      </c>
      <c r="D5" s="18" t="s">
        <v>100</v>
      </c>
    </row>
    <row r="6" spans="1:4" ht="43.2" x14ac:dyDescent="0.3">
      <c r="B6" s="35" t="s">
        <v>102</v>
      </c>
      <c r="C6" s="36" t="s">
        <v>133</v>
      </c>
      <c r="D6" s="35" t="s">
        <v>184</v>
      </c>
    </row>
    <row r="7" spans="1:4" ht="43.2" x14ac:dyDescent="0.3">
      <c r="B7" s="35" t="s">
        <v>103</v>
      </c>
      <c r="C7" s="36" t="s">
        <v>133</v>
      </c>
      <c r="D7" s="35" t="s">
        <v>185</v>
      </c>
    </row>
    <row r="8" spans="1:4" ht="30" customHeight="1" x14ac:dyDescent="0.3">
      <c r="B8" s="35" t="s">
        <v>104</v>
      </c>
      <c r="C8" s="36" t="s">
        <v>133</v>
      </c>
      <c r="D8" s="35" t="s">
        <v>186</v>
      </c>
    </row>
    <row r="9" spans="1:4" ht="30" customHeight="1" x14ac:dyDescent="0.3">
      <c r="B9" s="35" t="s">
        <v>105</v>
      </c>
      <c r="C9" s="36" t="s">
        <v>133</v>
      </c>
      <c r="D9" s="35" t="s">
        <v>187</v>
      </c>
    </row>
    <row r="10" spans="1:4" ht="30" customHeight="1" x14ac:dyDescent="0.3">
      <c r="B10" s="35" t="s">
        <v>106</v>
      </c>
      <c r="C10" s="36" t="s">
        <v>134</v>
      </c>
      <c r="D10" s="35" t="s">
        <v>135</v>
      </c>
    </row>
    <row r="11" spans="1:4" ht="30" customHeight="1" x14ac:dyDescent="0.3">
      <c r="B11" s="35" t="s">
        <v>107</v>
      </c>
      <c r="C11" s="36" t="s">
        <v>133</v>
      </c>
      <c r="D11" s="35" t="s">
        <v>188</v>
      </c>
    </row>
    <row r="12" spans="1:4" ht="30" customHeight="1" x14ac:dyDescent="0.3">
      <c r="B12" s="35" t="s">
        <v>108</v>
      </c>
      <c r="C12" s="36" t="s">
        <v>133</v>
      </c>
      <c r="D12" s="35" t="s">
        <v>189</v>
      </c>
    </row>
    <row r="13" spans="1:4" ht="30" customHeight="1" x14ac:dyDescent="0.3">
      <c r="B13" s="35" t="s">
        <v>109</v>
      </c>
      <c r="C13" s="36" t="s">
        <v>134</v>
      </c>
      <c r="D13" s="35" t="s">
        <v>190</v>
      </c>
    </row>
    <row r="14" spans="1:4" ht="30" customHeight="1" x14ac:dyDescent="0.3">
      <c r="B14" s="35" t="s">
        <v>110</v>
      </c>
      <c r="C14" s="36" t="s">
        <v>133</v>
      </c>
      <c r="D14" s="35" t="s">
        <v>191</v>
      </c>
    </row>
    <row r="15" spans="1:4" ht="30" customHeight="1" x14ac:dyDescent="0.3">
      <c r="B15" s="35" t="s">
        <v>111</v>
      </c>
      <c r="C15" s="36" t="s">
        <v>133</v>
      </c>
      <c r="D15" s="35" t="s">
        <v>192</v>
      </c>
    </row>
    <row r="20" spans="1:4" ht="23.4" x14ac:dyDescent="0.3">
      <c r="B20" s="38" t="s">
        <v>274</v>
      </c>
    </row>
    <row r="22" spans="1:4" ht="26.4" x14ac:dyDescent="0.3">
      <c r="A22" s="39"/>
      <c r="B22" s="39" t="s">
        <v>270</v>
      </c>
      <c r="C22" s="39"/>
      <c r="D22" s="39"/>
    </row>
    <row r="23" spans="1:4" ht="51.6" x14ac:dyDescent="0.3">
      <c r="A23" s="39"/>
      <c r="B23" s="39" t="s">
        <v>271</v>
      </c>
      <c r="C23" s="39"/>
      <c r="D23" s="39"/>
    </row>
    <row r="24" spans="1:4" ht="51.6" x14ac:dyDescent="0.3">
      <c r="A24" s="39"/>
      <c r="B24" s="39" t="s">
        <v>272</v>
      </c>
      <c r="C24" s="39"/>
      <c r="D24" s="39"/>
    </row>
    <row r="25" spans="1:4" ht="39" x14ac:dyDescent="0.3">
      <c r="A25" s="39"/>
      <c r="B25" s="39" t="s">
        <v>273</v>
      </c>
      <c r="C25" s="39"/>
      <c r="D25" s="39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Garde</vt:lpstr>
      <vt:lpstr>Identification</vt:lpstr>
      <vt:lpstr>Sprint 1</vt:lpstr>
      <vt:lpstr>Sprint 2</vt:lpstr>
      <vt:lpstr>Sprint 4 J3-Sécu</vt:lpstr>
      <vt:lpstr>Sprint 5 J3-bis RGPD</vt:lpstr>
      <vt:lpstr>Burndown Sprint 1</vt:lpstr>
      <vt:lpstr>Burndown Sprint 2</vt:lpstr>
      <vt:lpstr>Burndown Sprint 4</vt:lpstr>
      <vt:lpstr>Burndown Sprint 5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2026-06-25T22:39:08Z</dcterms:created>
  <dcterms:modified xsi:type="dcterms:W3CDTF">2026-07-01T14:17:50Z</dcterms:modified>
</cp:coreProperties>
</file>