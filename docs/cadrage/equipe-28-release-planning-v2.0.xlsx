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PSSI_25-26\APOCALIPSSI_G28\IPSSI_APOCAL_KIT_GR_28\docs\cadrage\"/>
    </mc:Choice>
  </mc:AlternateContent>
  <bookViews>
    <workbookView xWindow="0" yWindow="0" windowWidth="23040" windowHeight="9072" activeTab="1"/>
  </bookViews>
  <sheets>
    <sheet name="Garde" sheetId="1" r:id="rId1"/>
    <sheet name="Identification" sheetId="2" r:id="rId2"/>
    <sheet name="Release Planning" sheetId="3" r:id="rId3"/>
    <sheet name="Burnup global" sheetId="4" r:id="rId4"/>
    <sheet name="Auto-évaluation" sheetId="5" r:id="rId5"/>
  </sheets>
  <calcPr calcId="162913"/>
</workbook>
</file>

<file path=xl/sharedStrings.xml><?xml version="1.0" encoding="utf-8"?>
<sst xmlns="http://schemas.openxmlformats.org/spreadsheetml/2006/main" count="206" uniqueCount="179">
  <si>
    <t>A</t>
  </si>
  <si>
    <t>APOCAL'IPSSI</t>
  </si>
  <si>
    <t>CADRAGE MATINAL · ARTEFACT 5 SUR 7</t>
  </si>
  <si>
    <t>Release Planning</t>
  </si>
  <si>
    <t>Planning des 7 sprints demi-journée et des 2 releases d'EduTutor IA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</si>
  <si>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</si>
  <si>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</si>
  <si>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</si>
  <si>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</si>
  <si>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</si>
  <si>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</si>
  <si>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</si>
  <si>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Version</t>
  </si>
  <si>
    <t>Date de remise</t>
  </si>
  <si>
    <t>Statut</t>
  </si>
  <si>
    <t>💡 Convention de nommage du fichier :</t>
  </si>
  <si>
    <t>equipe-XX-nom-document-vY.Z.xlsx  (ex. equipe-03-product-backlog-v1.0.xlsx)</t>
  </si>
  <si>
    <t>RELEASE PLANNING : SEMAINE APOCAL'IPSSI 2026</t>
  </si>
  <si>
    <t>7 sprints × demi-journée + cadrage matinal + soutenance vendredi</t>
  </si>
  <si>
    <t>💡 OBJECTIF</t>
  </si>
  <si>
    <t>Vue d'ensemble de la semaine : objectif et stories engagées par sprint, capacité réaliste, vélocité cible.</t>
  </si>
  <si>
    <t>📐 FORMAT</t>
  </si>
  <si>
    <t>9 lignes (Cadrage + 7 sprints + Soutenance) × 8 colonnes. Tag US-XX en colonne stories pour traçabilité Product Backlog.</t>
  </si>
  <si>
    <t>✅ BON</t>
  </si>
  <si>
    <t>« Sprint 1 : Objectif = setup MVP F1 + F2 · Capacité 28 h-pers · Vélocité 10 SP · Stories US-01, US-02 »</t>
  </si>
  <si>
    <t>❌ À ÉVITER</t>
  </si>
  <si>
    <t>« Sprint 1 : faire du progrès » (ni mesurable, ni vérifiable en revue de sprint)</t>
  </si>
  <si>
    <t>Sprint</t>
  </si>
  <si>
    <t>Jour</t>
  </si>
  <si>
    <t>Horaires</t>
  </si>
  <si>
    <t>Capacité (h-pers)</t>
  </si>
  <si>
    <t>Vélocité cible (SP)</t>
  </si>
  <si>
    <t>Objectif sprint</t>
  </si>
  <si>
    <t>Stories engagées</t>
  </si>
  <si>
    <t>Release / Jalon</t>
  </si>
  <si>
    <t>Cadrage</t>
  </si>
  <si>
    <t>Lundi matin</t>
  </si>
  <si>
    <t>9h00 – 13h30</t>
  </si>
  <si>
    <t>n.c.</t>
  </si>
  <si>
    <t>Sprint 1</t>
  </si>
  <si>
    <t>Lundi PM</t>
  </si>
  <si>
    <t>14h00 – 18h00</t>
  </si>
  <si>
    <t>10</t>
  </si>
  <si>
    <t>Sprint 2</t>
  </si>
  <si>
    <t>Mardi matin</t>
  </si>
  <si>
    <t>9h00 – 12h30</t>
  </si>
  <si>
    <t>8-10</t>
  </si>
  <si>
    <t>Sprint 3</t>
  </si>
  <si>
    <t>Mardi PM</t>
  </si>
  <si>
    <t>US-04, US-05</t>
  </si>
  <si>
    <t>Sprint 4</t>
  </si>
  <si>
    <t>Mercredi matin</t>
  </si>
  <si>
    <t>Sprint 5</t>
  </si>
  <si>
    <t>Mercredi PM</t>
  </si>
  <si>
    <t>Sprint 6</t>
  </si>
  <si>
    <t>Jeudi matin</t>
  </si>
  <si>
    <t>8</t>
  </si>
  <si>
    <t>Sprint 7</t>
  </si>
  <si>
    <t>Jeudi PM</t>
  </si>
  <si>
    <t>14h00 – 17h00</t>
  </si>
  <si>
    <t>6-8</t>
  </si>
  <si>
    <t>Soutenance</t>
  </si>
  <si>
    <t>Vendredi</t>
  </si>
  <si>
    <t>Selon planning</t>
  </si>
  <si>
    <t>TOTAL semaine</t>
  </si>
  <si>
    <t>~ 50-60 SP</t>
  </si>
  <si>
    <t>Capacité totale = 203.0 h-pers (équipe de 7 personnes)</t>
  </si>
  <si>
    <t>📌 LÉGENDE</t>
  </si>
  <si>
    <t>🟦 Sprint Review</t>
  </si>
  <si>
    <t>Démo des stories à la fin du sprint + validation PO</t>
  </si>
  <si>
    <t>⚡ Perturbation</t>
  </si>
  <si>
    <t>Événement imprévu déclenché par l'équipe pédagogique, voir page Perturbations du site</t>
  </si>
  <si>
    <t>🚀 Release</t>
  </si>
  <si>
    <t>Livraison incrément potentiellement déployable (tag Git + démo enregistrable)</t>
  </si>
  <si>
    <t>🎤 Soutenance</t>
  </si>
  <si>
    <t>Pitch + démo + retour réflexif + Q/R jury (vendredi)</t>
  </si>
  <si>
    <t>BURNUP GLOBAL : SEMAINE APOCAL'IPSSI 2026</t>
  </si>
  <si>
    <t>Trajectoire des story points livrés vs scope total sur les 7 sprints</t>
  </si>
  <si>
    <t>💡 BURNUP vs BURNDOWN</t>
  </si>
  <si>
    <t>Le BURNUP trace les SP livrés cumulés (montant), avec une ligne distincte pour le scope total (qui peut bouger). Différent du burndown qui trace seulement le restant.</t>
  </si>
  <si>
    <t>✅ AVANTAGE BURNUP</t>
  </si>
  <si>
    <t>Visible quand le scope augmente (perturbations qui ajoutent du travail), un simple burndown masquerait ce signal.</t>
  </si>
  <si>
    <t>📐 LECTURE</t>
  </si>
  <si>
    <t>Idéal : ligne droite progressive. Réel : à reporter après chaque Sprint Review. Si l'écart Réel-Idéal se creuse → alerte.</t>
  </si>
  <si>
    <t>Fin de sprint</t>
  </si>
  <si>
    <t>SP livrés (idéal)</t>
  </si>
  <si>
    <t>SP livrés (réel)</t>
  </si>
  <si>
    <t>Scope total</t>
  </si>
  <si>
    <t>Sprint 0</t>
  </si>
  <si>
    <t>Lun 13h30</t>
  </si>
  <si>
    <t>Lun 18h</t>
  </si>
  <si>
    <t>Mar 12h30</t>
  </si>
  <si>
    <t>Mar 18h</t>
  </si>
  <si>
    <t>Mer 12h30</t>
  </si>
  <si>
    <t>Mer 18h</t>
  </si>
  <si>
    <t>Jeu 12h30</t>
  </si>
  <si>
    <t>Jeu 17h</t>
  </si>
  <si>
    <t>📊 INSÉRER UN GRAPHIQUE</t>
  </si>
  <si>
    <t>Sélectionnez les colonnes Fin de sprint / Idéal / Réel / Scope, puis menu Excel : Insertion &gt; Graphique en courbes. Format conseillé : 3 séries (idéal en pointillés, réel en plein, scope en filled area).</t>
  </si>
  <si>
    <t>✅ Grille d'auto-évaluation</t>
  </si>
  <si>
    <t>À remplir par l'équipe avant soumission au PO</t>
  </si>
  <si>
    <t>Critère qualité</t>
  </si>
  <si>
    <t>Auto-évaluation</t>
  </si>
  <si>
    <t>Les 7 sprints sont planifiés avec jour, horaires et capacité (h-pers) chiffrée</t>
  </si>
  <si>
    <t>☐ Oui   ☐ Partiel   ☐ Non</t>
  </si>
  <si>
    <t>L'équipe taille est explicite (ex. 7 personnes), pas de capacité "floue"</t>
  </si>
  <si>
    <t>Chaque sprint a un objectif clair, mesurable, livrable en démo</t>
  </si>
  <si>
    <t>Chaque sprint liste au moins 1 user story engagée (tag US-XX du Product Backlog)</t>
  </si>
  <si>
    <t>La Release 1 (MVP) est explicitement positionnée à la fin du Sprint 5 (mercredi 17h45)</t>
  </si>
  <si>
    <t>La Release 2 est explicitement positionnée à la fin du Sprint 7 (jeudi 17h)</t>
  </si>
  <si>
    <t>Les 5 perturbations sont positionnées sur le planning aux bons créneaux</t>
  </si>
  <si>
    <t>La feuille Burnup global est remplie avec un scope initial chiffré (~50-60 SP)</t>
  </si>
  <si>
    <t>Le Release Planning a été co-construit en équipe (toutes les voix entendues)</t>
  </si>
  <si>
    <t>Groupe 28</t>
  </si>
  <si>
    <t>• Make CHEN
• Tiago DUVAL
• James MBA FONGANG
• Rémi KORZENIOWSKI
• Eddy MENSAH
• Caleb Nathanael TSIBA MODESTE</t>
  </si>
  <si>
    <t>Cadrage + Sprints 1 à 7</t>
  </si>
  <si>
    <t>29/06/2026 13h00</t>
  </si>
  <si>
    <t>Draft / En revue PO</t>
  </si>
  <si>
    <t>Setup technique, inventaire brownfield, sécurisation du socle MVP et démarrage F1/F2. Intégrer la perturbation J1 : cible enseignante Mme Lefèvre à prendre en compte sans casser le MVP étudiant.</t>
  </si>
  <si>
    <t>Produire les 7 artefacts agiles : Vision, Personas, Customer Journey, Story Map, Release Planning, Product Backlog, Sprint Backlog. Aligner l’équipe sur le périmètre MVP, les contraintes techniques et les jalons.</t>
  </si>
  <si>
    <t>US-01, US-02, US-07</t>
  </si>
  <si>
    <t>Perturbation J1 Produit/Scope à 14h00 + Sprint Review 18h</t>
  </si>
  <si>
    <t>Validation PO 14h00</t>
  </si>
  <si>
    <t>Finaliser le parcours cours → génération quiz. Gérer la perturbation J2 liée à la latence LLM et tracer la décision technique dans un ADR.</t>
  </si>
  <si>
    <t>US-03, ADR-01</t>
  </si>
  <si>
    <t>Perturbation J2 Technique à 10h00</t>
  </si>
  <si>
    <t>Finaliser la soumission du quiz, la correction automatique, le score /10 et le détail des bonnes/mauvaises réponses. Stabiliser l’intégration F3–F5.</t>
  </si>
  <si>
    <t>Sprint Review 18h</t>
  </si>
  <si>
    <t>Release 2 à 17h00</t>
  </si>
  <si>
    <t>Soutenance + Q/R jury</t>
  </si>
  <si>
    <t>Présenter le pitch, la démo live MVP, la Release 2, les arbitrages, les perturbations traitées et le retour réflexif de l’équipe.</t>
  </si>
  <si>
    <t>Oui</t>
  </si>
  <si>
    <t>Planning détaillé du cadrage à la soutenance.</t>
  </si>
  <si>
    <t>7 personnes, 203 h-pers total.</t>
  </si>
  <si>
    <t>Objectifs formulés par incrément démontrable.</t>
  </si>
  <si>
    <t>US-01 à US-12 réparties par sprint.</t>
  </si>
  <si>
    <t>Mercredi 17h45 : MVP F1-F6.</t>
  </si>
  <si>
    <t>Jeudi 17h00 : enrichissements R2.</t>
  </si>
  <si>
    <t>Scope initial 56 SP ; ajustement prévu seulement après perturbations validées par le PO.</t>
  </si>
  <si>
    <t>Scope initial 56 SP.</t>
  </si>
  <si>
    <t>À valider avant dépôt final avec tous les membres.</t>
  </si>
  <si>
    <t>L’équipe est composée de 7 personnes (6 membres + 1 PO).</t>
  </si>
  <si>
    <t>La capacité totale disponible sur la semaine est estimée à 203 h-personnes.</t>
  </si>
  <si>
    <t>La planification respecte les jalons imposés :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</si>
  <si>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0"/>
        <color theme="1"/>
        <rFont val="Verdana"/>
        <family val="2"/>
      </rPr>
      <t>Release 1 (MVP F1 à F6) : mercredi 01/07 à 17h45, fin Sprint 5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</si>
  <si>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0"/>
        <color theme="1"/>
        <rFont val="Verdana"/>
        <family val="2"/>
      </rPr>
      <t>Release 2 (enrichissements ciblés) : jeudi 02/07 à 17h00, fin Sprint 7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</si>
  <si>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0"/>
        <color theme="1"/>
        <rFont val="Verdana"/>
        <family val="2"/>
      </rPr>
      <t>Soutenance finale : vendredi 03/07 selon créneau jury</t>
    </r>
  </si>
  <si>
    <t>Le MVP prioritaire reste centré sur les fonctionnalités principales suivantes :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</si>
  <si>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0"/>
        <color theme="1"/>
        <rFont val="Verdana"/>
        <family val="2"/>
      </rPr>
      <t>F1 : inscription / connexion par email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</si>
  <si>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0"/>
        <color theme="1"/>
        <rFont val="Verdana"/>
        <family val="2"/>
      </rPr>
      <t>F2 : upload ou saisie d’un cours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</si>
  <si>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0"/>
        <color theme="1"/>
        <rFont val="Verdana"/>
        <family val="2"/>
      </rPr>
      <t>F3 : génération automatique de 10 QCM via LLM local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</si>
  <si>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0"/>
        <color theme="1"/>
        <rFont val="Verdana"/>
        <family val="2"/>
      </rPr>
      <t>F4 : correction automatique du quiz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</si>
  <si>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0"/>
        <color theme="1"/>
        <rFont val="Verdana"/>
        <family val="2"/>
      </rPr>
      <t>F5 : affichage du score /10 et détail des réponses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</si>
  <si>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0"/>
        <color theme="1"/>
        <rFont val="Verdana"/>
        <family val="2"/>
      </rPr>
      <t>F6 : historique des quiz par utilisateur</t>
    </r>
  </si>
  <si>
    <t>Les enrichissements Release 2 retenus sont :</t>
  </si>
  <si>
    <t>US-10 : dashboard de progression enseignant</t>
  </si>
  <si>
    <t>US-11 : focus lacunes / révision des erreurs</t>
  </si>
  <si>
    <t>US-12 : export PDF des résultats</t>
  </si>
  <si>
    <t>Hypothèses de planification</t>
  </si>
  <si>
    <t>Traiter la perturbation J3 Sécurité : créer un jeu de tests adversariaux, corriger la prompt injection, séparer system prompt et user input, ajouter une validation post-LLM et automatiser au moins un test adversarial dans la CI.</t>
  </si>
  <si>
    <t>US-27, US-28, US-29</t>
  </si>
  <si>
    <t>Perturbation J3 Sécurité à 10h00 · patch sécurité + note sécurité + test CI</t>
  </si>
  <si>
    <t>Traiter la perturbation J3-bis RGPD comme une décision de conformité : enregistrer la demande SAR de Hugo Petit, inventorier les données personnelles, rédiger la réponse écrite, produire une politique de rétention allégée et finaliser la Release 1 MVP.</t>
  </si>
  <si>
    <t>US-30, US-31, US-32, US-33 + correctifs MVP</t>
  </si>
  <si>
    <t>Perturbation J3-bis RGPD · Release 1 MVP à 17h45</t>
  </si>
  <si>
    <t>Démarrer la Release 2 en transformant les décisions RGPD en fonctionnalités : endpoint d’export des données, bouton frontend “Exporter mes données”, et stabilisation des éléments non finalisés en Release 1.</t>
  </si>
  <si>
    <t>US-34, US-35 + éventuels correctifs sécurité/RGPD</t>
  </si>
  <si>
    <t>Perturbation J4 à 10h00 · préparation Release 2</t>
  </si>
  <si>
    <t>Finaliser la Release 2, stabiliser la démo, intégrer les retours sur sécurité/RGPD et préparer le post-mortem J4.</t>
  </si>
  <si>
    <t>Correctifs Release 2 + post-mortem</t>
  </si>
  <si>
    <t xml:space="preserve">Commentaire </t>
  </si>
  <si>
    <t>Release Planning mis à jour après les perturbations J2, J3 et J3-bis.</t>
  </si>
  <si>
    <t>La priorité reste la livraison du MVP mercredi soir, mais le planning intègre désormais :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</si>
  <si>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0"/>
        <color theme="1"/>
        <rFont val="Verdana"/>
        <family val="2"/>
      </rPr>
      <t>la re-estimation de la génération de quiz après benchmark LLM ;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</si>
  <si>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0"/>
        <color theme="1"/>
        <rFont val="Verdana"/>
        <family val="2"/>
      </rPr>
      <t>le traitement prioritaire de la prompt injection avant la Release 1 ;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</si>
  <si>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0"/>
        <color theme="1"/>
        <rFont val="Verdana"/>
        <family val="2"/>
      </rPr>
      <t>la prise en compte de la demande RGPD Article 15 de Hugo Petit ;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</si>
  <si>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0"/>
        <color theme="1"/>
        <rFont val="Verdana"/>
        <family val="2"/>
      </rPr>
      <t>le report des fonctionnalités RGPD plus techniques, comme l’endpoint d’export et le bouton frontend, vers la Release 2 si la capacité ne permet pas leur intégration complète avant mercredi soir.</t>
    </r>
  </si>
  <si>
    <t>Cette décision permet de sécuriser la Release 1 sans transformer la perturbation RGPD en sprint de code complet.</t>
  </si>
  <si>
    <t>v2.0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</si>
</sst>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b/>
      <sz val="11"/>
      <color rgb="FFFFFFFF"/>
      <name val="Calibri"/>
    </font>
    <font>
      <sz val="10"/>
      <color rgb="FF1E1B4B"/>
      <name val="Calibri"/>
    </font>
    <font>
      <b/>
      <sz val="11"/>
      <color rgb="FF1E1B4B"/>
      <name val="Calibri"/>
    </font>
    <font>
      <sz val="10"/>
      <color rgb="FFB45309"/>
      <name val="Calibri"/>
    </font>
    <font>
      <sz val="10"/>
      <color rgb="FFDC2626"/>
      <name val="Calibri"/>
    </font>
    <font>
      <sz val="10"/>
      <color rgb="FF16A34A"/>
      <name val="Calibri"/>
    </font>
    <font>
      <b/>
      <sz val="10"/>
      <color rgb="FF1E1B4B"/>
      <name val="Calibri"/>
    </font>
    <font>
      <sz val="10"/>
      <color rgb="FF1E1B4B"/>
      <name val="Calibri"/>
      <family val="2"/>
    </font>
    <font>
      <sz val="10"/>
      <color theme="1"/>
      <name val="Verdana"/>
      <family val="2"/>
    </font>
    <font>
      <sz val="7"/>
      <color theme="1"/>
      <name val="Times New Roman"/>
      <family val="1"/>
    </font>
    <font>
      <sz val="10"/>
      <color theme="1"/>
      <name val="Symbol"/>
      <family val="1"/>
      <charset val="2"/>
    </font>
    <font>
      <b/>
      <u/>
      <sz val="10"/>
      <color theme="1"/>
      <name val="Verdana"/>
      <family val="2"/>
    </font>
    <font>
      <b/>
      <sz val="12"/>
      <color theme="1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FFF"/>
        <bgColor rgb="FFFFFFFF"/>
      </patternFill>
    </fill>
    <fill>
      <patternFill patternType="solid">
        <fgColor rgb="FFFFFBEB"/>
        <bgColor rgb="FFFFFBEB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3" borderId="1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vertical="center" wrapText="1"/>
    </xf>
    <xf numFmtId="0" fontId="17" fillId="4" borderId="2" xfId="0" applyFont="1" applyFill="1" applyBorder="1" applyAlignment="1">
      <alignment vertical="center" wrapText="1"/>
    </xf>
    <xf numFmtId="0" fontId="17" fillId="4" borderId="2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vertical="center" wrapText="1"/>
    </xf>
    <xf numFmtId="0" fontId="17" fillId="5" borderId="2" xfId="0" applyFont="1" applyFill="1" applyBorder="1" applyAlignment="1">
      <alignment vertical="center" wrapText="1"/>
    </xf>
    <xf numFmtId="0" fontId="17" fillId="5" borderId="2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vertical="center" wrapText="1"/>
    </xf>
    <xf numFmtId="0" fontId="17" fillId="6" borderId="2" xfId="0" applyFont="1" applyFill="1" applyBorder="1" applyAlignment="1">
      <alignment vertical="center" wrapText="1"/>
    </xf>
    <xf numFmtId="0" fontId="17" fillId="6" borderId="2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vertical="center" wrapText="1"/>
    </xf>
    <xf numFmtId="0" fontId="17" fillId="7" borderId="2" xfId="0" applyFont="1" applyFill="1" applyBorder="1" applyAlignment="1">
      <alignment vertical="center" wrapText="1"/>
    </xf>
    <xf numFmtId="0" fontId="17" fillId="7" borderId="2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vertical="center" wrapText="1"/>
    </xf>
    <xf numFmtId="0" fontId="17" fillId="8" borderId="2" xfId="0" applyFont="1" applyFill="1" applyBorder="1" applyAlignment="1">
      <alignment vertical="center" wrapText="1"/>
    </xf>
    <xf numFmtId="0" fontId="17" fillId="8" borderId="2" xfId="0" applyFont="1" applyFill="1" applyBorder="1" applyAlignment="1">
      <alignment horizontal="center" vertical="center"/>
    </xf>
    <xf numFmtId="0" fontId="17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wrapText="1"/>
    </xf>
    <xf numFmtId="0" fontId="10" fillId="2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8" fillId="9" borderId="2" xfId="0" applyFont="1" applyFill="1" applyBorder="1" applyAlignment="1">
      <alignment vertical="center"/>
    </xf>
    <xf numFmtId="0" fontId="0" fillId="9" borderId="2" xfId="0" applyFill="1" applyBorder="1" applyAlignment="1">
      <alignment vertical="center"/>
    </xf>
    <xf numFmtId="0" fontId="9" fillId="9" borderId="2" xfId="0" applyFont="1" applyFill="1" applyBorder="1" applyAlignment="1">
      <alignment vertical="center"/>
    </xf>
    <xf numFmtId="0" fontId="17" fillId="4" borderId="2" xfId="0" applyFont="1" applyFill="1" applyBorder="1" applyAlignment="1">
      <alignment horizontal="left" vertical="center" wrapText="1"/>
    </xf>
    <xf numFmtId="0" fontId="23" fillId="5" borderId="2" xfId="0" applyFont="1" applyFill="1" applyBorder="1" applyAlignment="1">
      <alignment vertical="center" wrapText="1"/>
    </xf>
    <xf numFmtId="0" fontId="23" fillId="6" borderId="2" xfId="0" applyFont="1" applyFill="1" applyBorder="1" applyAlignment="1">
      <alignment vertical="center" wrapText="1"/>
    </xf>
    <xf numFmtId="0" fontId="23" fillId="7" borderId="2" xfId="0" applyFont="1" applyFill="1" applyBorder="1" applyAlignment="1">
      <alignment vertical="center" wrapText="1"/>
    </xf>
    <xf numFmtId="0" fontId="23" fillId="8" borderId="2" xfId="0" applyFont="1" applyFill="1" applyBorder="1" applyAlignment="1">
      <alignment vertical="center" wrapText="1"/>
    </xf>
    <xf numFmtId="1" fontId="17" fillId="0" borderId="0" xfId="0" applyNumberFormat="1" applyFont="1" applyAlignment="1">
      <alignment horizontal="center" vertical="center"/>
    </xf>
    <xf numFmtId="1" fontId="0" fillId="0" borderId="0" xfId="0" applyNumberFormat="1"/>
    <xf numFmtId="0" fontId="17" fillId="0" borderId="0" xfId="0" applyNumberFormat="1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6" fillId="0" borderId="0" xfId="0" applyFont="1" applyAlignment="1">
      <alignment horizontal="left" vertical="center" indent="5"/>
    </xf>
    <xf numFmtId="0" fontId="27" fillId="0" borderId="0" xfId="0" applyFont="1" applyAlignment="1">
      <alignment horizontal="left" vertical="center" indent="5"/>
    </xf>
    <xf numFmtId="0" fontId="2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'Burnup global'!$C$8</c:f>
              <c:strCache>
                <c:ptCount val="1"/>
                <c:pt idx="0">
                  <c:v>SP livrés (idéal)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'Burnup global'!$B$9:$B$16</c:f>
              <c:strCache>
                <c:ptCount val="8"/>
                <c:pt idx="0">
                  <c:v>Lun 13h30</c:v>
                </c:pt>
                <c:pt idx="1">
                  <c:v>Lun 18h</c:v>
                </c:pt>
                <c:pt idx="2">
                  <c:v>Mar 12h30</c:v>
                </c:pt>
                <c:pt idx="3">
                  <c:v>Mar 18h</c:v>
                </c:pt>
                <c:pt idx="4">
                  <c:v>Mer 12h30</c:v>
                </c:pt>
                <c:pt idx="5">
                  <c:v>Mer 18h</c:v>
                </c:pt>
                <c:pt idx="6">
                  <c:v>Jeu 12h30</c:v>
                </c:pt>
                <c:pt idx="7">
                  <c:v>Jeu 17h</c:v>
                </c:pt>
              </c:strCache>
            </c:strRef>
          </c:cat>
          <c:val>
            <c:numRef>
              <c:f>'Burnup global'!$C$9:$C$16</c:f>
              <c:numCache>
                <c:formatCode>0</c:formatCode>
                <c:ptCount val="8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48</c:v>
                </c:pt>
                <c:pt idx="7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CB-4BD5-9490-0AB39E4CE484}"/>
            </c:ext>
          </c:extLst>
        </c:ser>
        <c:ser>
          <c:idx val="1"/>
          <c:order val="1"/>
          <c:tx>
            <c:strRef>
              <c:f>'Burnup global'!$D$8</c:f>
              <c:strCache>
                <c:ptCount val="1"/>
                <c:pt idx="0">
                  <c:v>SP livrés (réel)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'Burnup global'!$B$9:$B$16</c:f>
              <c:strCache>
                <c:ptCount val="8"/>
                <c:pt idx="0">
                  <c:v>Lun 13h30</c:v>
                </c:pt>
                <c:pt idx="1">
                  <c:v>Lun 18h</c:v>
                </c:pt>
                <c:pt idx="2">
                  <c:v>Mar 12h30</c:v>
                </c:pt>
                <c:pt idx="3">
                  <c:v>Mar 18h</c:v>
                </c:pt>
                <c:pt idx="4">
                  <c:v>Mer 12h30</c:v>
                </c:pt>
                <c:pt idx="5">
                  <c:v>Mer 18h</c:v>
                </c:pt>
                <c:pt idx="6">
                  <c:v>Jeu 12h30</c:v>
                </c:pt>
                <c:pt idx="7">
                  <c:v>Jeu 17h</c:v>
                </c:pt>
              </c:strCache>
            </c:strRef>
          </c:cat>
          <c:val>
            <c:numRef>
              <c:f>'Burnup global'!$D$9:$D$16</c:f>
              <c:numCache>
                <c:formatCode>0</c:formatCode>
                <c:ptCount val="8"/>
                <c:pt idx="0">
                  <c:v>0</c:v>
                </c:pt>
                <c:pt idx="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CB-4BD5-9490-0AB39E4CE484}"/>
            </c:ext>
          </c:extLst>
        </c:ser>
        <c:ser>
          <c:idx val="2"/>
          <c:order val="2"/>
          <c:tx>
            <c:strRef>
              <c:f>'Burnup global'!$E$8</c:f>
              <c:strCache>
                <c:ptCount val="1"/>
                <c:pt idx="0">
                  <c:v>Scope 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'Burnup global'!$B$9:$B$16</c:f>
              <c:strCache>
                <c:ptCount val="8"/>
                <c:pt idx="0">
                  <c:v>Lun 13h30</c:v>
                </c:pt>
                <c:pt idx="1">
                  <c:v>Lun 18h</c:v>
                </c:pt>
                <c:pt idx="2">
                  <c:v>Mar 12h30</c:v>
                </c:pt>
                <c:pt idx="3">
                  <c:v>Mar 18h</c:v>
                </c:pt>
                <c:pt idx="4">
                  <c:v>Mer 12h30</c:v>
                </c:pt>
                <c:pt idx="5">
                  <c:v>Mer 18h</c:v>
                </c:pt>
                <c:pt idx="6">
                  <c:v>Jeu 12h30</c:v>
                </c:pt>
                <c:pt idx="7">
                  <c:v>Jeu 17h</c:v>
                </c:pt>
              </c:strCache>
            </c:strRef>
          </c:cat>
          <c:val>
            <c:numRef>
              <c:f>'Burnup global'!$E$9:$E$16</c:f>
              <c:numCache>
                <c:formatCode>General</c:formatCode>
                <c:ptCount val="8"/>
                <c:pt idx="0">
                  <c:v>56</c:v>
                </c:pt>
                <c:pt idx="1">
                  <c:v>56</c:v>
                </c:pt>
                <c:pt idx="2">
                  <c:v>61</c:v>
                </c:pt>
                <c:pt idx="3">
                  <c:v>61</c:v>
                </c:pt>
                <c:pt idx="4">
                  <c:v>72</c:v>
                </c:pt>
                <c:pt idx="5">
                  <c:v>82</c:v>
                </c:pt>
                <c:pt idx="6">
                  <c:v>90</c:v>
                </c:pt>
                <c:pt idx="7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CB-4BD5-9490-0AB39E4CE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0266223"/>
        <c:axId val="460266639"/>
      </c:lineChart>
      <c:catAx>
        <c:axId val="460266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266639"/>
        <c:crosses val="autoZero"/>
        <c:auto val="1"/>
        <c:lblAlgn val="ctr"/>
        <c:lblOffset val="100"/>
        <c:noMultiLvlLbl val="0"/>
      </c:catAx>
      <c:valAx>
        <c:axId val="46026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26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480060</xdr:colOff>
      <xdr:row>18</xdr:row>
      <xdr:rowOff>118110</xdr:rowOff>
    </xdr:from>
    <xdr:to>
      <xdr:col>4</xdr:col>
      <xdr:colOff>800100</xdr:colOff>
      <xdr:row>33</xdr:row>
      <xdr:rowOff>118110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1"/>
  <sheetViews>
    <sheetView showGridLines="0" workbookViewId="0"/>
  </sheetViews>
  <sheetFormatPr baseColWidth="10" defaultColWidth="8.88671875" defaultRowHeight="14.4" x14ac:dyDescent="0.3"/>
  <cols>
    <col min="1" max="1" width="4" customWidth="1"/>
    <col min="2" max="2" width="90" customWidth="1"/>
  </cols>
  <sheetData>
    <row r="2" spans="2:2" ht="91.8" x14ac:dyDescent="1.65">
      <c r="B2" s="1" t="s">
        <v>0</v>
      </c>
    </row>
    <row r="4" spans="2:2" ht="18" x14ac:dyDescent="0.35">
      <c r="B4" s="2" t="s">
        <v>1</v>
      </c>
    </row>
    <row r="8" spans="2:2" x14ac:dyDescent="0.3">
      <c r="B8" s="3" t="s">
        <v>2</v>
      </c>
    </row>
    <row r="10" spans="2:2" ht="31.2" x14ac:dyDescent="0.6">
      <c r="B10" s="4" t="s">
        <v>3</v>
      </c>
    </row>
    <row r="12" spans="2:2" ht="15.6" x14ac:dyDescent="0.3">
      <c r="B12" s="5" t="s">
        <v>4</v>
      </c>
    </row>
    <row r="20" spans="2:2" x14ac:dyDescent="0.3">
      <c r="B20" s="6" t="s">
        <v>5</v>
      </c>
    </row>
    <row r="21" spans="2:2" x14ac:dyDescent="0.3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3"/>
  <sheetViews>
    <sheetView showGridLines="0" tabSelected="1" topLeftCell="A2" workbookViewId="0">
      <selection activeCell="C9" sqref="C9"/>
    </sheetView>
  </sheetViews>
  <sheetFormatPr baseColWidth="10" defaultColWidth="8.88671875" defaultRowHeight="14.4" x14ac:dyDescent="0.3"/>
  <cols>
    <col min="1" max="1" width="2" customWidth="1"/>
    <col min="2" max="2" width="80.21875" bestFit="1" customWidth="1"/>
    <col min="3" max="3" width="60" customWidth="1"/>
  </cols>
  <sheetData>
    <row r="2" spans="2:3" ht="15.6" x14ac:dyDescent="0.3">
      <c r="B2" s="8" t="s">
        <v>7</v>
      </c>
    </row>
    <row r="3" spans="2:3" x14ac:dyDescent="0.3">
      <c r="B3" s="9" t="s">
        <v>8</v>
      </c>
    </row>
    <row r="5" spans="2:3" ht="22.05" customHeight="1" x14ac:dyDescent="0.3">
      <c r="B5" s="39" t="s">
        <v>9</v>
      </c>
      <c r="C5" s="40" t="s">
        <v>113</v>
      </c>
    </row>
    <row r="6" spans="2:3" ht="86.4" x14ac:dyDescent="0.3">
      <c r="B6" s="39" t="s">
        <v>10</v>
      </c>
      <c r="C6" s="38" t="s">
        <v>114</v>
      </c>
    </row>
    <row r="7" spans="2:3" ht="22.05" customHeight="1" x14ac:dyDescent="0.3">
      <c r="B7" s="39" t="s">
        <v>11</v>
      </c>
      <c r="C7" s="40" t="s">
        <v>115</v>
      </c>
    </row>
    <row r="8" spans="2:3" ht="22.05" customHeight="1" x14ac:dyDescent="0.3">
      <c r="B8" s="39" t="s">
        <v>12</v>
      </c>
      <c r="C8" s="40" t="s">
        <v>178</v>
      </c>
    </row>
    <row r="9" spans="2:3" ht="22.05" customHeight="1" x14ac:dyDescent="0.3">
      <c r="B9" s="39" t="s">
        <v>13</v>
      </c>
      <c r="C9" s="40" t="s">
        <v>116</v>
      </c>
    </row>
    <row r="10" spans="2:3" ht="22.05" customHeight="1" x14ac:dyDescent="0.3">
      <c r="B10" s="39" t="s">
        <v>14</v>
      </c>
      <c r="C10" s="40" t="s">
        <v>117</v>
      </c>
    </row>
    <row r="12" spans="2:3" x14ac:dyDescent="0.3">
      <c r="B12" s="10" t="s">
        <v>15</v>
      </c>
    </row>
    <row r="13" spans="2:3" x14ac:dyDescent="0.3">
      <c r="B13" s="7" t="s">
        <v>16</v>
      </c>
    </row>
    <row r="16" spans="2:3" x14ac:dyDescent="0.3">
      <c r="B16" s="54" t="s">
        <v>158</v>
      </c>
    </row>
    <row r="17" spans="2:2" x14ac:dyDescent="0.3">
      <c r="B17" s="52" t="s">
        <v>141</v>
      </c>
    </row>
    <row r="18" spans="2:2" x14ac:dyDescent="0.3">
      <c r="B18" s="52" t="s">
        <v>142</v>
      </c>
    </row>
    <row r="19" spans="2:2" x14ac:dyDescent="0.3">
      <c r="B19" s="52" t="s">
        <v>143</v>
      </c>
    </row>
    <row r="20" spans="2:2" x14ac:dyDescent="0.3">
      <c r="B20" s="53" t="s">
        <v>144</v>
      </c>
    </row>
    <row r="21" spans="2:2" x14ac:dyDescent="0.3">
      <c r="B21" s="53" t="s">
        <v>145</v>
      </c>
    </row>
    <row r="22" spans="2:2" x14ac:dyDescent="0.3">
      <c r="B22" s="53" t="s">
        <v>146</v>
      </c>
    </row>
    <row r="23" spans="2:2" x14ac:dyDescent="0.3">
      <c r="B23" s="52" t="s">
        <v>147</v>
      </c>
    </row>
    <row r="24" spans="2:2" x14ac:dyDescent="0.3">
      <c r="B24" s="53" t="s">
        <v>148</v>
      </c>
    </row>
    <row r="25" spans="2:2" x14ac:dyDescent="0.3">
      <c r="B25" s="53" t="s">
        <v>149</v>
      </c>
    </row>
    <row r="26" spans="2:2" x14ac:dyDescent="0.3">
      <c r="B26" s="53" t="s">
        <v>150</v>
      </c>
    </row>
    <row r="27" spans="2:2" x14ac:dyDescent="0.3">
      <c r="B27" s="53" t="s">
        <v>151</v>
      </c>
    </row>
    <row r="28" spans="2:2" x14ac:dyDescent="0.3">
      <c r="B28" s="53" t="s">
        <v>152</v>
      </c>
    </row>
    <row r="29" spans="2:2" x14ac:dyDescent="0.3">
      <c r="B29" s="53" t="s">
        <v>153</v>
      </c>
    </row>
    <row r="30" spans="2:2" x14ac:dyDescent="0.3">
      <c r="B30" s="52" t="s">
        <v>154</v>
      </c>
    </row>
    <row r="31" spans="2:2" x14ac:dyDescent="0.3">
      <c r="B31" s="52" t="s">
        <v>155</v>
      </c>
    </row>
    <row r="32" spans="2:2" x14ac:dyDescent="0.3">
      <c r="B32" s="52" t="s">
        <v>156</v>
      </c>
    </row>
    <row r="33" spans="2:2" x14ac:dyDescent="0.3">
      <c r="B33" s="52" t="s">
        <v>157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showGridLines="0" workbookViewId="0">
      <pane ySplit="9" topLeftCell="A11" activePane="bottomLeft" state="frozen"/>
      <selection pane="bottomLeft" activeCell="H18" sqref="H18"/>
    </sheetView>
  </sheetViews>
  <sheetFormatPr baseColWidth="10" defaultColWidth="8.88671875" defaultRowHeight="14.4" x14ac:dyDescent="0.3"/>
  <cols>
    <col min="1" max="1" width="12" customWidth="1"/>
    <col min="2" max="2" width="16" customWidth="1"/>
    <col min="3" max="5" width="14" customWidth="1"/>
    <col min="6" max="6" width="38" customWidth="1"/>
    <col min="7" max="7" width="28" customWidth="1"/>
    <col min="8" max="8" width="22" customWidth="1"/>
  </cols>
  <sheetData>
    <row r="1" spans="1:8" ht="23.4" x14ac:dyDescent="0.45">
      <c r="A1" s="11" t="s">
        <v>17</v>
      </c>
    </row>
    <row r="2" spans="1:8" x14ac:dyDescent="0.3">
      <c r="A2" s="9" t="s">
        <v>18</v>
      </c>
    </row>
    <row r="4" spans="1:8" x14ac:dyDescent="0.3">
      <c r="A4" s="3" t="s">
        <v>19</v>
      </c>
      <c r="B4" s="9" t="s">
        <v>20</v>
      </c>
    </row>
    <row r="5" spans="1:8" x14ac:dyDescent="0.3">
      <c r="A5" s="3" t="s">
        <v>21</v>
      </c>
      <c r="B5" s="9" t="s">
        <v>22</v>
      </c>
    </row>
    <row r="6" spans="1:8" x14ac:dyDescent="0.3">
      <c r="A6" s="12" t="s">
        <v>23</v>
      </c>
      <c r="B6" s="9" t="s">
        <v>24</v>
      </c>
    </row>
    <row r="7" spans="1:8" x14ac:dyDescent="0.3">
      <c r="A7" s="13" t="s">
        <v>25</v>
      </c>
      <c r="B7" s="9" t="s">
        <v>26</v>
      </c>
    </row>
    <row r="9" spans="1:8" ht="28.8" x14ac:dyDescent="0.3">
      <c r="A9" s="14" t="s">
        <v>27</v>
      </c>
      <c r="B9" s="14" t="s">
        <v>28</v>
      </c>
      <c r="C9" s="14" t="s">
        <v>29</v>
      </c>
      <c r="D9" s="14" t="s">
        <v>30</v>
      </c>
      <c r="E9" s="14" t="s">
        <v>31</v>
      </c>
      <c r="F9" s="14" t="s">
        <v>32</v>
      </c>
      <c r="G9" s="14" t="s">
        <v>33</v>
      </c>
      <c r="H9" s="14" t="s">
        <v>34</v>
      </c>
    </row>
    <row r="10" spans="1:8" ht="69" x14ac:dyDescent="0.3">
      <c r="A10" s="15" t="s">
        <v>35</v>
      </c>
      <c r="B10" s="16" t="s">
        <v>36</v>
      </c>
      <c r="C10" s="16" t="s">
        <v>37</v>
      </c>
      <c r="D10" s="17">
        <v>24.5</v>
      </c>
      <c r="E10" s="17" t="s">
        <v>38</v>
      </c>
      <c r="F10" s="44" t="s">
        <v>119</v>
      </c>
      <c r="G10" s="16" t="s">
        <v>38</v>
      </c>
      <c r="H10" s="16" t="s">
        <v>122</v>
      </c>
    </row>
    <row r="11" spans="1:8" ht="69" x14ac:dyDescent="0.3">
      <c r="A11" s="18" t="s">
        <v>39</v>
      </c>
      <c r="B11" s="19" t="s">
        <v>40</v>
      </c>
      <c r="C11" s="19" t="s">
        <v>41</v>
      </c>
      <c r="D11" s="20">
        <v>28</v>
      </c>
      <c r="E11" s="20" t="s">
        <v>42</v>
      </c>
      <c r="F11" s="19" t="s">
        <v>118</v>
      </c>
      <c r="G11" s="19" t="s">
        <v>120</v>
      </c>
      <c r="H11" s="19" t="s">
        <v>121</v>
      </c>
    </row>
    <row r="12" spans="1:8" ht="45" customHeight="1" x14ac:dyDescent="0.3">
      <c r="A12" s="21" t="s">
        <v>43</v>
      </c>
      <c r="B12" s="22" t="s">
        <v>44</v>
      </c>
      <c r="C12" s="22" t="s">
        <v>45</v>
      </c>
      <c r="D12" s="23">
        <v>24.5</v>
      </c>
      <c r="E12" s="23" t="s">
        <v>46</v>
      </c>
      <c r="F12" s="22" t="s">
        <v>123</v>
      </c>
      <c r="G12" s="22" t="s">
        <v>124</v>
      </c>
      <c r="H12" s="22" t="s">
        <v>125</v>
      </c>
    </row>
    <row r="13" spans="1:8" ht="55.2" x14ac:dyDescent="0.3">
      <c r="A13" s="18" t="s">
        <v>47</v>
      </c>
      <c r="B13" s="19" t="s">
        <v>48</v>
      </c>
      <c r="C13" s="19" t="s">
        <v>41</v>
      </c>
      <c r="D13" s="20">
        <v>28</v>
      </c>
      <c r="E13" s="20" t="s">
        <v>42</v>
      </c>
      <c r="F13" s="19" t="s">
        <v>126</v>
      </c>
      <c r="G13" s="45" t="s">
        <v>49</v>
      </c>
      <c r="H13" s="45" t="s">
        <v>127</v>
      </c>
    </row>
    <row r="14" spans="1:8" ht="82.8" x14ac:dyDescent="0.3">
      <c r="A14" s="21" t="s">
        <v>50</v>
      </c>
      <c r="B14" s="22" t="s">
        <v>51</v>
      </c>
      <c r="C14" s="22" t="s">
        <v>45</v>
      </c>
      <c r="D14" s="23">
        <v>24.5</v>
      </c>
      <c r="E14" s="23" t="s">
        <v>46</v>
      </c>
      <c r="F14" s="46" t="s">
        <v>159</v>
      </c>
      <c r="G14" s="46" t="s">
        <v>160</v>
      </c>
      <c r="H14" s="46" t="s">
        <v>161</v>
      </c>
    </row>
    <row r="15" spans="1:8" ht="82.8" x14ac:dyDescent="0.3">
      <c r="A15" s="24" t="s">
        <v>52</v>
      </c>
      <c r="B15" s="25" t="s">
        <v>53</v>
      </c>
      <c r="C15" s="25" t="s">
        <v>41</v>
      </c>
      <c r="D15" s="26">
        <v>28</v>
      </c>
      <c r="E15" s="26" t="s">
        <v>46</v>
      </c>
      <c r="F15" s="47" t="s">
        <v>162</v>
      </c>
      <c r="G15" s="47" t="s">
        <v>163</v>
      </c>
      <c r="H15" s="47" t="s">
        <v>164</v>
      </c>
    </row>
    <row r="16" spans="1:8" ht="69" x14ac:dyDescent="0.3">
      <c r="A16" s="21" t="s">
        <v>54</v>
      </c>
      <c r="B16" s="22" t="s">
        <v>55</v>
      </c>
      <c r="C16" s="22" t="s">
        <v>45</v>
      </c>
      <c r="D16" s="23">
        <v>24.5</v>
      </c>
      <c r="E16" s="23" t="s">
        <v>56</v>
      </c>
      <c r="F16" s="46" t="s">
        <v>165</v>
      </c>
      <c r="G16" s="46" t="s">
        <v>166</v>
      </c>
      <c r="H16" s="46" t="s">
        <v>167</v>
      </c>
    </row>
    <row r="17" spans="1:8" ht="45" customHeight="1" x14ac:dyDescent="0.3">
      <c r="A17" s="24" t="s">
        <v>57</v>
      </c>
      <c r="B17" s="25" t="s">
        <v>58</v>
      </c>
      <c r="C17" s="25" t="s">
        <v>59</v>
      </c>
      <c r="D17" s="26">
        <v>21</v>
      </c>
      <c r="E17" s="26" t="s">
        <v>60</v>
      </c>
      <c r="F17" s="47" t="s">
        <v>168</v>
      </c>
      <c r="G17" s="47" t="s">
        <v>169</v>
      </c>
      <c r="H17" s="47" t="s">
        <v>128</v>
      </c>
    </row>
    <row r="18" spans="1:8" ht="45" customHeight="1" x14ac:dyDescent="0.3">
      <c r="A18" s="27" t="s">
        <v>61</v>
      </c>
      <c r="B18" s="28" t="s">
        <v>62</v>
      </c>
      <c r="C18" s="28" t="s">
        <v>63</v>
      </c>
      <c r="D18" s="29" t="s">
        <v>38</v>
      </c>
      <c r="E18" s="29" t="s">
        <v>38</v>
      </c>
      <c r="F18" s="48" t="s">
        <v>130</v>
      </c>
      <c r="G18" s="28" t="s">
        <v>38</v>
      </c>
      <c r="H18" s="48" t="s">
        <v>129</v>
      </c>
    </row>
    <row r="19" spans="1:8" x14ac:dyDescent="0.3">
      <c r="A19" s="41" t="s">
        <v>64</v>
      </c>
      <c r="B19" s="42"/>
      <c r="C19" s="42"/>
      <c r="D19" s="41">
        <v>203</v>
      </c>
      <c r="E19" s="41" t="s">
        <v>65</v>
      </c>
      <c r="F19" s="43" t="s">
        <v>66</v>
      </c>
      <c r="G19" s="42"/>
      <c r="H19" s="42"/>
    </row>
    <row r="21" spans="1:8" x14ac:dyDescent="0.3">
      <c r="A21" s="3" t="s">
        <v>67</v>
      </c>
    </row>
    <row r="22" spans="1:8" x14ac:dyDescent="0.3">
      <c r="A22" s="30" t="s">
        <v>68</v>
      </c>
      <c r="B22" s="9" t="s">
        <v>69</v>
      </c>
    </row>
    <row r="23" spans="1:8" x14ac:dyDescent="0.3">
      <c r="A23" s="31" t="s">
        <v>70</v>
      </c>
      <c r="B23" s="9" t="s">
        <v>71</v>
      </c>
    </row>
    <row r="24" spans="1:8" x14ac:dyDescent="0.3">
      <c r="A24" s="32" t="s">
        <v>72</v>
      </c>
      <c r="B24" s="9" t="s">
        <v>73</v>
      </c>
    </row>
    <row r="25" spans="1:8" x14ac:dyDescent="0.3">
      <c r="A25" s="33" t="s">
        <v>74</v>
      </c>
      <c r="B25" s="9" t="s">
        <v>75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showGridLines="0" topLeftCell="A18" zoomScale="87" workbookViewId="0">
      <selection activeCell="A38" sqref="A38:XFD38"/>
    </sheetView>
  </sheetViews>
  <sheetFormatPr baseColWidth="10" defaultColWidth="8.88671875" defaultRowHeight="14.4" x14ac:dyDescent="0.3"/>
  <cols>
    <col min="1" max="1" width="12" customWidth="1"/>
    <col min="2" max="2" width="14" customWidth="1"/>
    <col min="3" max="4" width="18" customWidth="1"/>
    <col min="5" max="5" width="24" customWidth="1"/>
  </cols>
  <sheetData>
    <row r="1" spans="1:5" ht="23.4" x14ac:dyDescent="0.45">
      <c r="A1" s="11" t="s">
        <v>76</v>
      </c>
    </row>
    <row r="2" spans="1:5" x14ac:dyDescent="0.3">
      <c r="A2" s="9" t="s">
        <v>77</v>
      </c>
    </row>
    <row r="4" spans="1:5" x14ac:dyDescent="0.3">
      <c r="A4" s="3" t="s">
        <v>78</v>
      </c>
      <c r="B4" s="9" t="s">
        <v>79</v>
      </c>
    </row>
    <row r="5" spans="1:5" x14ac:dyDescent="0.3">
      <c r="A5" s="12" t="s">
        <v>80</v>
      </c>
      <c r="B5" s="9" t="s">
        <v>81</v>
      </c>
    </row>
    <row r="6" spans="1:5" x14ac:dyDescent="0.3">
      <c r="A6" s="3" t="s">
        <v>82</v>
      </c>
      <c r="B6" s="9" t="s">
        <v>83</v>
      </c>
    </row>
    <row r="8" spans="1:5" x14ac:dyDescent="0.3">
      <c r="A8" s="14" t="s">
        <v>27</v>
      </c>
      <c r="B8" s="14" t="s">
        <v>84</v>
      </c>
      <c r="C8" s="14" t="s">
        <v>85</v>
      </c>
      <c r="D8" s="14" t="s">
        <v>86</v>
      </c>
      <c r="E8" s="14" t="s">
        <v>87</v>
      </c>
    </row>
    <row r="9" spans="1:5" ht="25.05" customHeight="1" x14ac:dyDescent="0.3">
      <c r="A9" s="34" t="s">
        <v>88</v>
      </c>
      <c r="B9" s="35" t="s">
        <v>89</v>
      </c>
      <c r="C9" s="49">
        <v>0</v>
      </c>
      <c r="D9" s="49">
        <v>0</v>
      </c>
      <c r="E9" s="51">
        <v>56</v>
      </c>
    </row>
    <row r="10" spans="1:5" ht="25.05" customHeight="1" x14ac:dyDescent="0.3">
      <c r="A10" s="34" t="s">
        <v>39</v>
      </c>
      <c r="B10" s="35" t="s">
        <v>90</v>
      </c>
      <c r="C10" s="49">
        <v>8</v>
      </c>
      <c r="D10" s="49">
        <v>8</v>
      </c>
      <c r="E10" s="51">
        <v>56</v>
      </c>
    </row>
    <row r="11" spans="1:5" ht="25.05" customHeight="1" x14ac:dyDescent="0.3">
      <c r="A11" s="34" t="s">
        <v>43</v>
      </c>
      <c r="B11" s="35" t="s">
        <v>91</v>
      </c>
      <c r="C11" s="49">
        <v>16</v>
      </c>
      <c r="D11" s="49"/>
      <c r="E11" s="51">
        <v>61</v>
      </c>
    </row>
    <row r="12" spans="1:5" ht="25.05" customHeight="1" x14ac:dyDescent="0.3">
      <c r="A12" s="34" t="s">
        <v>47</v>
      </c>
      <c r="B12" s="35" t="s">
        <v>92</v>
      </c>
      <c r="C12" s="49">
        <v>24</v>
      </c>
      <c r="D12" s="49"/>
      <c r="E12" s="51">
        <v>61</v>
      </c>
    </row>
    <row r="13" spans="1:5" ht="25.05" customHeight="1" x14ac:dyDescent="0.3">
      <c r="A13" s="34" t="s">
        <v>50</v>
      </c>
      <c r="B13" s="35" t="s">
        <v>93</v>
      </c>
      <c r="C13" s="49">
        <v>32</v>
      </c>
      <c r="D13" s="49"/>
      <c r="E13" s="51">
        <v>72</v>
      </c>
    </row>
    <row r="14" spans="1:5" ht="25.05" customHeight="1" x14ac:dyDescent="0.3">
      <c r="A14" s="34" t="s">
        <v>52</v>
      </c>
      <c r="B14" s="35" t="s">
        <v>94</v>
      </c>
      <c r="C14" s="49">
        <v>40</v>
      </c>
      <c r="D14" s="49"/>
      <c r="E14" s="51">
        <v>82</v>
      </c>
    </row>
    <row r="15" spans="1:5" ht="25.05" customHeight="1" x14ac:dyDescent="0.3">
      <c r="A15" s="34" t="s">
        <v>54</v>
      </c>
      <c r="B15" s="35" t="s">
        <v>95</v>
      </c>
      <c r="C15" s="49">
        <v>48</v>
      </c>
      <c r="D15" s="49"/>
      <c r="E15" s="51">
        <v>90</v>
      </c>
    </row>
    <row r="16" spans="1:5" ht="25.05" customHeight="1" x14ac:dyDescent="0.3">
      <c r="A16" s="34" t="s">
        <v>57</v>
      </c>
      <c r="B16" s="35" t="s">
        <v>96</v>
      </c>
      <c r="C16" s="49">
        <v>56</v>
      </c>
      <c r="D16" s="49"/>
      <c r="E16" s="51">
        <v>90</v>
      </c>
    </row>
    <row r="17" spans="1:3" x14ac:dyDescent="0.3">
      <c r="C17" s="50"/>
    </row>
    <row r="18" spans="1:3" x14ac:dyDescent="0.3">
      <c r="A18" s="3" t="s">
        <v>97</v>
      </c>
      <c r="B18" s="7" t="s">
        <v>98</v>
      </c>
    </row>
    <row r="37" spans="2:2" ht="16.2" x14ac:dyDescent="0.3">
      <c r="B37" s="55" t="s">
        <v>170</v>
      </c>
    </row>
    <row r="38" spans="2:2" ht="16.2" x14ac:dyDescent="0.3">
      <c r="B38" s="55"/>
    </row>
    <row r="39" spans="2:2" x14ac:dyDescent="0.3">
      <c r="B39" s="52" t="s">
        <v>171</v>
      </c>
    </row>
    <row r="40" spans="2:2" x14ac:dyDescent="0.3">
      <c r="B40" s="52" t="s">
        <v>172</v>
      </c>
    </row>
    <row r="41" spans="2:2" x14ac:dyDescent="0.3">
      <c r="B41" s="53" t="s">
        <v>173</v>
      </c>
    </row>
    <row r="42" spans="2:2" x14ac:dyDescent="0.3">
      <c r="B42" s="53" t="s">
        <v>174</v>
      </c>
    </row>
    <row r="43" spans="2:2" x14ac:dyDescent="0.3">
      <c r="B43" s="53" t="s">
        <v>175</v>
      </c>
    </row>
    <row r="44" spans="2:2" x14ac:dyDescent="0.3">
      <c r="B44" s="53" t="s">
        <v>176</v>
      </c>
    </row>
    <row r="45" spans="2:2" x14ac:dyDescent="0.3">
      <c r="B45" s="52" t="s">
        <v>177</v>
      </c>
    </row>
  </sheetData>
  <pageMargins left="0.75" right="0.75" top="1" bottom="1" header="0.5" footer="0.5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4"/>
  <sheetViews>
    <sheetView workbookViewId="0">
      <selection activeCell="B5" sqref="B5:D5"/>
    </sheetView>
  </sheetViews>
  <sheetFormatPr baseColWidth="10" defaultColWidth="8.88671875" defaultRowHeight="14.4" x14ac:dyDescent="0.3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" x14ac:dyDescent="0.35">
      <c r="B2" s="2" t="s">
        <v>99</v>
      </c>
    </row>
    <row r="3" spans="1:4" x14ac:dyDescent="0.3">
      <c r="B3" s="9" t="s">
        <v>100</v>
      </c>
    </row>
    <row r="5" spans="1:4" x14ac:dyDescent="0.3">
      <c r="A5" s="14"/>
      <c r="B5" s="14" t="s">
        <v>101</v>
      </c>
      <c r="C5" s="14" t="s">
        <v>102</v>
      </c>
      <c r="D5" s="14" t="s">
        <v>101</v>
      </c>
    </row>
    <row r="6" spans="1:4" ht="30" customHeight="1" x14ac:dyDescent="0.3">
      <c r="B6" s="36" t="s">
        <v>103</v>
      </c>
      <c r="C6" s="37" t="s">
        <v>131</v>
      </c>
      <c r="D6" s="36" t="s">
        <v>132</v>
      </c>
    </row>
    <row r="7" spans="1:4" ht="30" customHeight="1" x14ac:dyDescent="0.3">
      <c r="B7" s="36" t="s">
        <v>105</v>
      </c>
      <c r="C7" s="37" t="s">
        <v>131</v>
      </c>
      <c r="D7" s="36" t="s">
        <v>133</v>
      </c>
    </row>
    <row r="8" spans="1:4" ht="30" customHeight="1" x14ac:dyDescent="0.3">
      <c r="B8" s="36" t="s">
        <v>106</v>
      </c>
      <c r="C8" s="37" t="s">
        <v>131</v>
      </c>
      <c r="D8" s="36" t="s">
        <v>134</v>
      </c>
    </row>
    <row r="9" spans="1:4" ht="30" customHeight="1" x14ac:dyDescent="0.3">
      <c r="B9" s="36" t="s">
        <v>107</v>
      </c>
      <c r="C9" s="37" t="s">
        <v>131</v>
      </c>
      <c r="D9" s="36" t="s">
        <v>135</v>
      </c>
    </row>
    <row r="10" spans="1:4" ht="30" customHeight="1" x14ac:dyDescent="0.3">
      <c r="B10" s="36" t="s">
        <v>108</v>
      </c>
      <c r="C10" s="37" t="s">
        <v>131</v>
      </c>
      <c r="D10" s="36" t="s">
        <v>136</v>
      </c>
    </row>
    <row r="11" spans="1:4" ht="30" customHeight="1" x14ac:dyDescent="0.3">
      <c r="B11" s="36" t="s">
        <v>109</v>
      </c>
      <c r="C11" s="37" t="s">
        <v>131</v>
      </c>
      <c r="D11" s="36" t="s">
        <v>137</v>
      </c>
    </row>
    <row r="12" spans="1:4" ht="30" customHeight="1" x14ac:dyDescent="0.3">
      <c r="B12" s="36" t="s">
        <v>110</v>
      </c>
      <c r="C12" s="37" t="s">
        <v>131</v>
      </c>
      <c r="D12" s="36" t="s">
        <v>138</v>
      </c>
    </row>
    <row r="13" spans="1:4" ht="30" customHeight="1" x14ac:dyDescent="0.3">
      <c r="B13" s="36" t="s">
        <v>111</v>
      </c>
      <c r="C13" s="37" t="s">
        <v>131</v>
      </c>
      <c r="D13" s="36" t="s">
        <v>139</v>
      </c>
    </row>
    <row r="14" spans="1:4" ht="30" customHeight="1" x14ac:dyDescent="0.3">
      <c r="B14" s="36" t="s">
        <v>112</v>
      </c>
      <c r="C14" s="37" t="s">
        <v>104</v>
      </c>
      <c r="D14" s="36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Garde</vt:lpstr>
      <vt:lpstr>Identification</vt:lpstr>
      <vt:lpstr>Release Planning</vt:lpstr>
      <vt:lpstr>Burnup global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2026-06-25T22:39:08Z</dcterms:created>
  <dcterms:modified xsi:type="dcterms:W3CDTF">2026-07-01T13:30:42Z</dcterms:modified>
</cp:coreProperties>
</file>