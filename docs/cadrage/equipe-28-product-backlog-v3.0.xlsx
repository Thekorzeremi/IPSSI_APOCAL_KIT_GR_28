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7" rupBuild="14420"/>
  <workbookPr codeName="ThisWorkbook"/>
  <mc:AlternateContent xmlns:mc="http://schemas.openxmlformats.org/markup-compatibility/2006">
    <mc:Choice Requires="x15">
      <x15ac:absPath xmlns:x15ac="http://schemas.microsoft.com/office/spreadsheetml/2010/11/ac" url="D:\IPSSI_25-26\APOCALIPSSI_G28\IPSSI_APOCAL_KIT_GR_28\docs\cadrage\"/>
    </mc:Choice>
  </mc:AlternateContent>
  <bookViews>
    <workbookView xWindow="0" yWindow="360" windowWidth="25824" windowHeight="13896" activeTab="7"/>
  </bookViews>
  <sheets>
    <sheet name="Garde" sheetId="1" r:id="rId1"/>
    <sheet name="Identification" sheetId="2" r:id="rId2"/>
    <sheet name="Epics" sheetId="3" r:id="rId3"/>
    <sheet name="Backlog" sheetId="4" r:id="rId4"/>
    <sheet name="Epics-post-1j" sheetId="7" r:id="rId5"/>
    <sheet name="Backlog-post-1j" sheetId="8" r:id="rId6"/>
    <sheet name="DoR &amp; DoD" sheetId="5" r:id="rId7"/>
    <sheet name="Auto-évaluation" sheetId="6" r:id="rId8"/>
  </sheets>
  <calcPr calcId="162913"/>
  <fileRecoveryPr repairLoad="1"/>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F45" i="8" l="1"/>
</calcChain>
</file>

<file path=xl/sharedStrings.xml><?xml version="1.0" encoding="utf-8"?>
<sst xmlns="http://schemas.openxmlformats.org/spreadsheetml/2006/main" count="729" uniqueCount="294">
  <si>
    <t>A</t>
  </si>
  <si>
    <t>APOCAL'IPSSI</t>
  </si>
  <si>
    <t>CADRAGE MATINAL · ARTEFACT 6 SUR 7</t>
  </si>
  <si>
    <t>Product Backlog</t>
  </si>
  <si>
    <t>20 user stories organisées en 6 epics, avec critères INVEST et MoSCoW</t>
  </si>
  <si>
    <t>Projet EduTutor IA · Édition 2026 · Semaine immersive Scrum</t>
  </si>
  <si>
    <t>Auteur : Mohamed Amine EL AFRIT · Licence CC BY-NC-SA 4.0</t>
  </si>
  <si>
    <t>IDENTIFICATION DU DOCUMENT</t>
  </si>
  <si>
    <t>À compléter par l'équipe avant chaque remise</t>
  </si>
  <si>
    <t>Équipe n°</t>
  </si>
  <si>
    <t>Membres</t>
  </si>
  <si>
    <t>Sprint concerné</t>
  </si>
  <si>
    <t>Version</t>
  </si>
  <si>
    <t>Date de remise</t>
  </si>
  <si>
    <t>Statut</t>
  </si>
  <si>
    <t>💡 Convention de nommage du fichier :</t>
  </si>
  <si>
    <t>equipe-XX-nom-document-vY.Z.xlsx  (ex. equipe-03-product-backlog-v1.0.xlsx)</t>
  </si>
  <si>
    <t>EPICS : EDUTUTOR IA</t>
  </si>
  <si>
    <t>6 épopées correspondant aux activités utilisateur de la Story Map</t>
  </si>
  <si>
    <t>💡 OBJECTIF</t>
  </si>
  <si>
    <t>Une Epic regroupe plusieurs user stories qui partagent une intention commune. Permet la vue d'ensemble du scope et facilite la priorisation.</t>
  </si>
  <si>
    <t>ID</t>
  </si>
  <si>
    <t>Epic</t>
  </si>
  <si>
    <t>Activité utilisateur (Story Map)</t>
  </si>
  <si>
    <t>Stories incluses</t>
  </si>
  <si>
    <t>SP total</t>
  </si>
  <si>
    <t>EP-01</t>
  </si>
  <si>
    <t>Identification utilisateur</t>
  </si>
  <si>
    <t>S'inscrire</t>
  </si>
  <si>
    <t>US-01, US-07, US-13, US-18</t>
  </si>
  <si>
    <t>EP-02</t>
  </si>
  <si>
    <t>Gestion de contenu</t>
  </si>
  <si>
    <t>Uploader un cours</t>
  </si>
  <si>
    <t>US-02, US-08, US-14</t>
  </si>
  <si>
    <t>EP-03</t>
  </si>
  <si>
    <t>Génération de quiz</t>
  </si>
  <si>
    <t>Générer un quiz</t>
  </si>
  <si>
    <t>US-03, US-09, US-15, US-19</t>
  </si>
  <si>
    <t>EP-04</t>
  </si>
  <si>
    <t>Passage de quiz</t>
  </si>
  <si>
    <t>Passer le quiz</t>
  </si>
  <si>
    <t>US-04, US-05, US-10, US-20</t>
  </si>
  <si>
    <t>EP-05</t>
  </si>
  <si>
    <t>Suivi de progression</t>
  </si>
  <si>
    <t>Consulter résultats</t>
  </si>
  <si>
    <t>US-06, US-11, US-16</t>
  </si>
  <si>
    <t>EP-06</t>
  </si>
  <si>
    <t>Conformité &amp; administration</t>
  </si>
  <si>
    <t>Gérer son compte (RGPD)</t>
  </si>
  <si>
    <t>US-12, US-17</t>
  </si>
  <si>
    <t>PRODUCT BACKLOG : EDUTUTOR IA</t>
  </si>
  <si>
    <t>20 user stories : 6 MUST (MVP F1-F6) + 6 SHOULD R2 + 5 COULD R2 + 3 WON'T</t>
  </si>
  <si>
    <t>Liste ordonnée et priorisée de TOUTES les fonctionnalités du produit. Source unique de vérité du scope.</t>
  </si>
  <si>
    <t>📐 FORMAT INVEST</t>
  </si>
  <si>
    <t>Independent · Negotiable · Valuable · Estimable · Small · Testable. Format de phrase : « En tant que [persona], je veux [action] afin de [bénéfice]. »</t>
  </si>
  <si>
    <t>✅ BON</t>
  </si>
  <si>
    <t>« En tant qu'étudiante, je veux générer un quiz en moins de 60 s à partir de mon PDF, afin de réviser efficacement avant les partiels. »</t>
  </si>
  <si>
    <t>❌ À ÉVITER</t>
  </si>
  <si>
    <t>« On veut une fonctionnalité de génération » (pas INVEST, ni persona ni bénéfice clair)</t>
  </si>
  <si>
    <t>User Story (INVEST)</t>
  </si>
  <si>
    <t>Persona</t>
  </si>
  <si>
    <t>MoSCoW</t>
  </si>
  <si>
    <t>SP</t>
  </si>
  <si>
    <t>Critères d'acceptation (3 G/W/T pour MUST)</t>
  </si>
  <si>
    <t>DoR</t>
  </si>
  <si>
    <t>DoD</t>
  </si>
  <si>
    <t>Sprint</t>
  </si>
  <si>
    <t>US-01</t>
  </si>
  <si>
    <t>En tant qu'étudiant·e, je veux créer un compte avec email et mot de passe, afin de sauvegarder mes quizz et y revenir.</t>
  </si>
  <si>
    <t>MUST</t>
  </si>
  <si>
    <t>G: visiteur non authentifié sur /signup
W: soumet email valide + mdp ≥ 8 caractères
T: compte créé, email envoyé, redirect /upload</t>
  </si>
  <si>
    <t>□</t>
  </si>
  <si>
    <t>S1</t>
  </si>
  <si>
    <t>Todo</t>
  </si>
  <si>
    <t>US-02</t>
  </si>
  <si>
    <t>En tant qu'étudiant·e, je veux uploader un PDF ou saisir un texte de cours, afin de ne pas avoir à recopier mon support.</t>
  </si>
  <si>
    <t>G: user authentifié sur /upload
W: dépose PDF ≤ 5 Mo OU texte ≥ 200 car
T: contenu extrait, stocké, bouton 'Générer' visible</t>
  </si>
  <si>
    <t>US-03</t>
  </si>
  <si>
    <t>En tant qu'étudiant·e, je veux générer un quiz de 10 QCM en moins de 60 s, afin de réviser rapidement un chapitre.</t>
  </si>
  <si>
    <t>G: un cours stocké pour l'user
W: clique 'Générer un quiz' sur /quiz
T: 10 QCM générés en &lt; 60 s via Llama 3.1 8B local</t>
  </si>
  <si>
    <t>S2</t>
  </si>
  <si>
    <t>US-04</t>
  </si>
  <si>
    <t>En tant qu'étudiant·e, je veux soumettre mes réponses et obtenir une correction automatique, afin de savoir où je me situe.</t>
  </si>
  <si>
    <t>G: un quiz généré et affiché
W: user soumet ses 10 réponses
T: chaque réponse comparée, statut bon/mauvais enregistré</t>
  </si>
  <si>
    <t>S3</t>
  </si>
  <si>
    <t>US-05</t>
  </si>
  <si>
    <t>En tant qu'étudiant·e, je veux voir mon score /10 et le détail bonnes/mauvaises réponses, afin de mesurer ma progression.</t>
  </si>
  <si>
    <t>G: un quiz soumis
W: user arrive sur /resultat
T: score /10 affiché + 10 questions avec corrections détaillées</t>
  </si>
  <si>
    <t>US-06</t>
  </si>
  <si>
    <t>En tant qu'étudiant·e, je veux consulter l'historique de mes quizz passés, afin de suivre mon évolution dans le temps.</t>
  </si>
  <si>
    <t>G: user authentifié sur /historique
W: la page se charge
T: liste des quizz triés par date desc, avec titre/date/score/refaire</t>
  </si>
  <si>
    <t>S4</t>
  </si>
  <si>
    <t>US-07</t>
  </si>
  <si>
    <t>En tant qu'étudiant·e, je veux réinitialiser mon mot de passe via email, afin de pouvoir récupérer mon compte sans support.</t>
  </si>
  <si>
    <t>SHOULD</t>
  </si>
  <si>
    <t>[1 critère type : lien magique valide 24 h, redirect /reset-password]</t>
  </si>
  <si>
    <t>S6</t>
  </si>
  <si>
    <t>Backlog</t>
  </si>
  <si>
    <t>US-08</t>
  </si>
  <si>
    <t>En tant qu'étudiant·e, je veux une bibliothèque pour mes cours uploadés, afin de retrouver vite mes PDF d'un semestre.</t>
  </si>
  <si>
    <t>[1 critère type : page /library liste cours avec date, titre, nb quizz]</t>
  </si>
  <si>
    <t>US-09</t>
  </si>
  <si>
    <t>En tant qu'étudiant·e, je veux choisir le niveau de difficulté et le nombre de questions (5-20), afin d'adapter à mon temps disponible.</t>
  </si>
  <si>
    <t>[1 critère type : 3 niveaux (facile/moyen/dur) + slider 5-20 sur /quiz]</t>
  </si>
  <si>
    <t>US-10</t>
  </si>
  <si>
    <t>En tant qu'étudiant·e, je veux un mode timer optionnel par question, afin de m'entraîner aux conditions d'examen.</t>
  </si>
  <si>
    <t>[1 critère type : toggle ON/OFF + slider 10-30 s configurable]</t>
  </si>
  <si>
    <t>S7</t>
  </si>
  <si>
    <t>US-11</t>
  </si>
  <si>
    <t>En tant qu'étudiant·e, je veux un dashboard de progression par chapitre, afin de cibler mes révisions sur mes lacunes.</t>
  </si>
  <si>
    <t>[1 critère type : page /dashboard avec graphique en barres score / chap.]</t>
  </si>
  <si>
    <t>US-12</t>
  </si>
  <si>
    <t>En tant qu'utilisateur·trice, je veux exporter toutes mes données en JSON et CSV, afin d'exercer mon droit d'accès Art. 15 RGPD.</t>
  </si>
  <si>
    <t>[1 critère type : bouton export → ZIP avec quizz.json + reponses.csv + audit.json]</t>
  </si>
  <si>
    <t>S5</t>
  </si>
  <si>
    <t>US-13</t>
  </si>
  <si>
    <t>En tant qu'étudiant·e, je veux me connecter via Google ou Apple OAuth, afin d'éviter de gérer un énième mot de passe.</t>
  </si>
  <si>
    <t>COULD</t>
  </si>
  <si>
    <t>[1 critère type : boutons OAuth + provider Django allauth]</t>
  </si>
  <si>
    <t>US-14</t>
  </si>
  <si>
    <t>En tant qu'étudiant·e, je veux importer un cours depuis une URL web (article, blog), afin d'enrichir mes sources de révision.</t>
  </si>
  <si>
    <t>[1 critère type : champ URL + scraping article + filtrage textes parasites]</t>
  </si>
  <si>
    <t>US-15</t>
  </si>
  <si>
    <t>En tant qu'enseignant·e, je veux générer des questions ouvertes corrigées par le LLM, afin de varier les types d'évaluation.</t>
  </si>
  <si>
    <t>[1 critère type : mode 'question ouverte' avec barème indicatif et correction LLM]</t>
  </si>
  <si>
    <t>US-16</t>
  </si>
  <si>
    <t>En tant qu'étudiant·e, je veux que l'app identifie mes lacunes par chapitre, afin de me concentrer sur ce qui pèche.</t>
  </si>
  <si>
    <t>[1 critère type : algo agrégation scores &lt; 5/10 + tag chapitre concerné]</t>
  </si>
  <si>
    <t>US-17</t>
  </si>
  <si>
    <t>En tant qu'utilisateur·trice, je veux supprimer mon compte et toutes mes données, afin d'exercer mon droit à l'oubli Art. 17 RGPD.</t>
  </si>
  <si>
    <t>[1 critère type : bouton avec confirmation 2-étapes + cron purge 30 j]</t>
  </si>
  <si>
    <t>US-18</t>
  </si>
  <si>
    <t>En tant que DSI d'établissement, je veux un SSO entreprise SAML/OIDC, afin d'intégrer EduTutor à mon AD/ENT.</t>
  </si>
  <si>
    <t>WON'T</t>
  </si>
  <si>
    <t>Reporté Release 3+ (cible B2B post-prototype)</t>
  </si>
  <si>
    <t>Won't</t>
  </si>
  <si>
    <t>US-19</t>
  </si>
  <si>
    <t>En tant qu'étudiant·e, je veux discuter avec un chatbot IA pour explorer un sujet, afin d'apprendre par dialogue.</t>
  </si>
  <si>
    <t>Hors cible primaire (concurrent direct Khanmigo). Ne pas y aller.</t>
  </si>
  <si>
    <t>US-20</t>
  </si>
  <si>
    <t>En tant qu'étudiant·e, je veux affronter d'autres étudiants en mode compétition, afin d'ajouter du fun à la révision.</t>
  </si>
  <si>
    <t>Hors scope vision (apprentissage personnalisé, pas gamification compétitive)</t>
  </si>
  <si>
    <t>TOTAL</t>
  </si>
  <si>
    <t>20 stories · 137 SP scope total · à arbitrer contre vélocité cible ~56 SP</t>
  </si>
  <si>
    <t>DEFINITION OF READY &amp; DEFINITION OF DONE</t>
  </si>
  <si>
    <t>Critères partagés par toute l'équipe, à respecter pour chaque story</t>
  </si>
  <si>
    <t>🟢 DEFINITION OF READY (DoR), avant Sprint Planning</t>
  </si>
  <si>
    <t>Une story est READY (tirable en sprint) si TOUS ces critères sont cochés :</t>
  </si>
  <si>
    <t>□ User story rédigée au format INVEST (En tant que ... je veux ... afin de ...)</t>
  </si>
  <si>
    <t>□ Persona identifié (Étudiant·e / Enseignant·e / Établissement)</t>
  </si>
  <si>
    <t>□ Priorité MoSCoW assignée et justifiée (Must / Should / Could / Won't)</t>
  </si>
  <si>
    <t>□ Critères d'acceptation explicites et testables (format Given/When/Then de préférence)</t>
  </si>
  <si>
    <t>□ Story estimée par l'équipe en story points (Planning Poker recommandé)</t>
  </si>
  <si>
    <t>□ Dépendances avec d'autres stories identifiées (et non-bloquantes au moment du sprint)</t>
  </si>
  <si>
    <t>□ Pas de question ouverte côté Product Owner (clarté du besoin)</t>
  </si>
  <si>
    <t>□ Maquettes / wireframes disponibles si la story comporte une interface (Figma, Excalidraw)</t>
  </si>
  <si>
    <t>🟢 DEFINITION OF DONE (DoD), pour clôturer une story</t>
  </si>
  <si>
    <t>Une story est DONE (validée Sprint Review) si TOUS ces critères sont cochés :</t>
  </si>
  <si>
    <t>□ Tous les critères d'acceptation de la story sont satisfaits (vérifiables en démo)</t>
  </si>
  <si>
    <t>□ Code reviewé par au moins 1 autre membre de l'équipe (Pull Request approuvée)</t>
  </si>
  <si>
    <t>□ Tests pertinents ajoutés (pytest pour backend, vitest pour frontend, minimum unitaires)</t>
  </si>
  <si>
    <t>□ Lint et tests verts en CI (pipeline GitHub Actions au vert)</t>
  </si>
  <si>
    <t>□ Documentation à jour (README, docstrings, /docs/ si concept nouveau)</t>
  </si>
  <si>
    <t>□ Pas de TODO/FIXME laissé sans ticket de suivi (créer une issue si nécessaire)</t>
  </si>
  <si>
    <t>□ Story démontrée et acceptée par le PO en Sprint Review</t>
  </si>
  <si>
    <t>□ Code mergé sur la branche principale + tag Git si fin de release</t>
  </si>
  <si>
    <t>□ Pas de régression introduite (suite de tests intégrale au vert)</t>
  </si>
  <si>
    <t>✅ Grille d'auto-évaluation</t>
  </si>
  <si>
    <t>À remplir par l'équipe avant soumission au PO</t>
  </si>
  <si>
    <t>Critère qualité</t>
  </si>
  <si>
    <t>Auto-évaluation</t>
  </si>
  <si>
    <t>Commentaire / preuve</t>
  </si>
  <si>
    <t>20 user stories pré-remplies (6 MUST + 6 SHOULD + 5 COULD + 3 WON'T)</t>
  </si>
  <si>
    <t>Toutes les stories sont au format INVEST (En tant que ... je veux ... afin de ...)</t>
  </si>
  <si>
    <t>Chaque story a une priorité MoSCoW assignée et un persona ciblé</t>
  </si>
  <si>
    <t>Les 6 MUST correspondent exactement aux 6 features F1-F6 imposées</t>
  </si>
  <si>
    <t>Les 6 MUST ont des critères d'acceptation Given/When/Then complets</t>
  </si>
  <si>
    <t>Chaque story est rattachée à une Epic (EP-01 à EP-06)</t>
  </si>
  <si>
    <t>Les story points sont estimés (au moins indicatifs)</t>
  </si>
  <si>
    <t>La DoR et la DoD sont rédigées et partagées par l'équipe</t>
  </si>
  <si>
    <t>Le Product Backlog a été ordonné par valeur business + dépendances</t>
  </si>
  <si>
    <t>Toutes les stories ont été passées au crible INVEST en équipe</t>
  </si>
  <si>
    <t xml:space="preserve">Tiago DUVAL, Eddy MENSAH, James MBA FONGANG, Caleb Nathanael TSIBA MODESTE, Make CHEN, Rémi KORZENIOWSKI </t>
  </si>
  <si>
    <t xml:space="preserve">MAJ après perturbation </t>
  </si>
  <si>
    <r>
      <rPr>
        <b/>
        <sz val="11"/>
        <color theme="1"/>
        <rFont val="Calibri"/>
        <family val="2"/>
        <scheme val="minor"/>
      </rPr>
      <t>X</t>
    </r>
    <r>
      <rPr>
        <sz val="11"/>
        <color theme="1"/>
        <rFont val="Calibri"/>
        <family val="2"/>
        <scheme val="minor"/>
      </rPr>
      <t xml:space="preserve"> Oui   ☐ Partiel   ☐ Non</t>
    </r>
  </si>
  <si>
    <r>
      <t xml:space="preserve">☐ Oui   </t>
    </r>
    <r>
      <rPr>
        <b/>
        <sz val="11"/>
        <color theme="1"/>
        <rFont val="Calibri"/>
        <family val="2"/>
        <scheme val="minor"/>
      </rPr>
      <t>X</t>
    </r>
    <r>
      <rPr>
        <sz val="11"/>
        <color theme="1"/>
        <rFont val="Calibri"/>
        <family val="2"/>
        <scheme val="minor"/>
      </rPr>
      <t xml:space="preserve"> Partiel   ☐ Non</t>
    </r>
  </si>
  <si>
    <t>S8</t>
  </si>
  <si>
    <t>US-21</t>
  </si>
  <si>
    <t>US-22</t>
  </si>
  <si>
    <t>En tant qu'enseignant·e, je veux pouvoir consulter le resultat d'un etudiant</t>
  </si>
  <si>
    <t>En tant qu'enseignant·e, je veux pouvoir identifer un etudiant decrocheurs</t>
  </si>
  <si>
    <t>G: Liste des etudiants de l'enseignante
W: la page se charge
T: liste des etudiants triés par (note,date) desc, avec nom/date/score/…..</t>
  </si>
  <si>
    <t>G: donnée statisqtique de l'etudiant sur [X] mois
W: consulte
T: met en evidance les lacunes et par matiere et les notes</t>
  </si>
  <si>
    <t>US-23</t>
  </si>
  <si>
    <t>US-24</t>
  </si>
  <si>
    <t>US-25</t>
  </si>
  <si>
    <t>US-26</t>
  </si>
  <si>
    <t>En tant qu'enseignant·e je veux un dashboard de progression pour suivre mes etudiants.</t>
  </si>
  <si>
    <t>En tant qu'enseignant·e je veux des filters pour mieux ciblé mes etudiants.</t>
  </si>
  <si>
    <t>En tant qu'enseignant·e je veux ouvoir envoyer des coneille à mes etudaints sur leurs lacunes.</t>
  </si>
  <si>
    <t>En tant qu'enseignant·e je veux un espace numerique pour moi.</t>
  </si>
  <si>
    <t>26 stories · 161 SP scope total · à arbitrer contre vélocité cible ~56 SP</t>
  </si>
  <si>
    <t>1 critère type :   page /dashboard avec graphique en barres score / chap.</t>
  </si>
  <si>
    <t>1 critère type :   zone de commentaire a tribuer à l'enseignant·e</t>
  </si>
  <si>
    <t>1 critère type :   page /Liste des etudiants affilier</t>
  </si>
  <si>
    <t>1 critère type :   filtre sur les liste etudiante</t>
  </si>
  <si>
    <t>Léa Martin</t>
  </si>
  <si>
    <t>Mme Sophie Lefèvre</t>
  </si>
  <si>
    <t xml:space="preserve">Léa Martin, Mme Sophie Lefèvre, David Chen </t>
  </si>
  <si>
    <t xml:space="preserve">David Chen </t>
  </si>
  <si>
    <t>Sprint 4 / Sprint 5 : MAJ après perturbations J3 Sécurité et J3-bis RGPD</t>
  </si>
  <si>
    <t xml:space="preserve">v3.0 </t>
  </si>
  <si>
    <t>01/07/2026 18h00</t>
  </si>
  <si>
    <t>Génération automatique de 10 QCM via Gemma 3 4B avec Ollama local, validation JSON stricte et retry automatique.</t>
  </si>
  <si>
    <t>S’inscrire / Se connecter</t>
  </si>
  <si>
    <t>Permettre aux utilisateurs étudiants et enseignants d’accéder à EduTutor IA avec un compte sécurisé.</t>
  </si>
  <si>
    <t>Permettre à l’étudiant d’ajouter un support de cours exploitable par l’application.</t>
  </si>
  <si>
    <t>Permettre à l’étudiant de répondre aux QCM et de soumettre ses réponses. La structure du quiz doit être validée avant affichage.</t>
  </si>
  <si>
    <t>Permettre à l’étudiant de consulter son score et à l’enseignante de suivre les résultats de sa classe.</t>
  </si>
  <si>
    <t>Permettre à l’utilisateur de gérer son compte et de répondre aux exigences RGPD : inventaire des données, registre SAR, réponse Article 15, politique de rétention et export des données.</t>
  </si>
  <si>
    <t>US-01, US-07, US-13, US-17</t>
  </si>
  <si>
    <t>US-02, US-08, US-13</t>
  </si>
  <si>
    <t>US-03, US-09, US-15, US-18</t>
  </si>
  <si>
    <t>US-04, US-05, US-10, US-19</t>
  </si>
  <si>
    <t>US-06, US-11, US-16,US-21
US-22,US-23,US-25,US-25</t>
  </si>
  <si>
    <t>US-12, US-17,US-23</t>
  </si>
  <si>
    <t>Impact perturbation</t>
  </si>
  <si>
    <t>Inchangé après J3/J3-bis</t>
  </si>
  <si>
    <t>Inchangé, mais le contenu uploadé devient une source potentielle de prompt injection.</t>
  </si>
  <si>
    <t>Impact J2 + J3 : benchmark LLM, validation JSON, retry automatique, sécurisation contre la prompt injection.</t>
  </si>
  <si>
    <t>Impact J3 : validation post-LLM pour éviter les quiz manipulés ou mal structurés.</t>
  </si>
  <si>
    <t>Impact J1 déjà intégré avec Mme Lefèvre.</t>
  </si>
  <si>
    <t>Impact J3-bis : demande d’accès Article 15 de Hugo Petit à traiter en priorité.</t>
  </si>
  <si>
    <t>En tant qu’étudiant, je veux générer automatiquement 10 QCM à partir de mon cours via Gemma 3 4B avec Ollama local, validation JSON stricte et retry automatique, afin de m’entraîner rapidement avant un examen.</t>
  </si>
  <si>
    <t>S2/S3</t>
  </si>
  <si>
    <t>Commentaire</t>
  </si>
  <si>
    <t>US re-estimée après J2 : ajout du benchmark LLM, du contrôle JSON, de la gestion JSON_STRUCT_ERR / JSON_PARSE_ERR et du retry automatique.</t>
  </si>
  <si>
    <t>US-27</t>
  </si>
  <si>
    <t>En tant qu’équipe technique, je veux tester la génération de quiz avec des prompts adversariaux afin d’identifier les risques de prompt injection.</t>
  </si>
  <si>
    <t>Équipe technique</t>
  </si>
  <si>
    <t>Étant donné au moins 5 prompts adversariaux, quand ils sont testés avant et après patch, alors les résultats montrent clairement si l’injection est neutralisée.</t>
  </si>
  <si>
    <t>US-28</t>
  </si>
  <si>
    <t>En tant qu’équipe technique, je veux séparer le system prompt du contenu utilisateur afin d’empêcher le cours uploadé de modifier les consignes internes du LLM.</t>
  </si>
  <si>
    <t>Étant donné un cours contenant une instruction malveillante, quand le quiz est généré, alors le modèle respecte le system prompt et ignore l’instruction injectée.</t>
  </si>
  <si>
    <t>US-29</t>
  </si>
  <si>
    <t>US-30</t>
  </si>
  <si>
    <t>US-31</t>
  </si>
  <si>
    <t>US-32</t>
  </si>
  <si>
    <t>US-33</t>
  </si>
  <si>
    <t>En tant qu’utilisateur, je veux que le quiz généré soit validé avant affichage afin d’éviter des questions incomplètes, biaisées ou mal structurées.</t>
  </si>
  <si>
    <t>En tant qu’équipe produit, je veux enregistrer la demande SAR de Hugo Petit afin de tracer le traitement de sa demande RGPD Article 15.</t>
  </si>
  <si>
    <t>En tant qu’équipe produit, je veux inventorier les données personnelles détenues afin de savoir ce qui doit être transmis à Hugo Petit.</t>
  </si>
  <si>
    <t>En tant qu’équipe produit, je veux préparer une réponse écrite à Hugo Petit afin de formaliser la réponse à sa demande d’accès.</t>
  </si>
  <si>
    <t>En tant qu’équipe produit, je veux rédiger une politique de rétention allégée afin d’expliquer les durées de conservation et les modalités de suppression.</t>
  </si>
  <si>
    <t>Étudiant</t>
  </si>
  <si>
    <t>Équipe produit / DPO</t>
  </si>
  <si>
    <t>Hugo Petit</t>
  </si>
  <si>
    <t>Utilisateur / DPO</t>
  </si>
  <si>
    <t>Étant donné un quiz généré, quand la validation post-LLM est exécutée, alors chaque QCM contient 4 options distinctes et 1 bonne réponse identifiée, sinon le quiz est rejeté.</t>
  </si>
  <si>
    <t>Étant donné une demande SAR reçue, quand elle est traitée, alors le demandeur, le compte concerné, la date, le statut et le délai de réponse sont enregistrés dans un registre.</t>
  </si>
  <si>
    <t>Étant donné le compte hugo.petit@test.local, quand l’inventaire est réalisé, alors les données de compte, cours uploadés, quiz générés, réponses, scores, signalements et logs d’audit sont listés.</t>
  </si>
  <si>
    <t>Étant donné l’inventaire des données, quand la réponse est rédigée, alors elle contient l’accusé de réception, les données transmises, le format, les droits RGPD et le contact DPO.</t>
  </si>
  <si>
    <t>Étant donné les catégories de données identifiées, quand la politique est rédigée, alors elle précise la durée de conservation, le motif légal et les modalités de suppression.</t>
  </si>
  <si>
    <t>US-34</t>
  </si>
  <si>
    <t>US-35</t>
  </si>
  <si>
    <t>En tant qu’utilisateur connecté, je veux disposer d’un endpoint d’export de mes données afin de pouvoir récupérer mes données au format JSON.</t>
  </si>
  <si>
    <t>En tant qu’utilisateur connecté, je veux cliquer sur “Exporter mes données” afin de télécharger automatiquement mes données personnelles.</t>
  </si>
  <si>
    <t>Utilisateur</t>
  </si>
  <si>
    <t>Étant donné un utilisateur authentifié, quand il appelle GET /api/accounts/me/export/, alors un export JSON complet de ses données est généré.</t>
  </si>
  <si>
    <t>Étant donné un utilisateur connecté, quand il clique sur le bouton “Exporter mes données”, alors le téléchargement de l’export JSON est déclenché.</t>
  </si>
  <si>
    <t>Product Backlog mis à jour après les perturbations J2, J3 et J3-bis.</t>
  </si>
  <si>
    <t>La story US-03 a été modifiée et re-estimée à 13 SP suite au benchmark LLM réalisé avec Gemma 3 4B via Ollama. Cette re-estimation prend en compte la validation JSON stricte, le retry automatique et la gestion des erreurs de format observées pendant les tests.</t>
  </si>
  <si>
    <t>Les stories US-27 à US-29 couvrent la perturbation J3 Sécurité, notamment les tests adversariaux, la séparation du system prompt et du contenu utilisateur, ainsi que la validation post-LLM des quiz générés.</t>
  </si>
  <si>
    <t>Les stories US-30 à US-35 couvrent la perturbation J3-bis RGPD liée à la demande d’accès Article 15 de Hugo Petit. Les éléments de décision et de conformité sont placés en MUST pour la Release 1, tandis que l’implémentation complète de l’export utilisateur est positionnée en SHOULD pour la Release 2.</t>
  </si>
  <si>
    <t>Synthèse des impacts Product Backlog</t>
  </si>
  <si>
    <t>Perturbation</t>
  </si>
  <si>
    <t>Impact sur le Product Backlog</t>
  </si>
  <si>
    <t>J2 Technique</t>
  </si>
  <si>
    <t>Modification de US-03 : modèle Gemma 3 4B, validation JSON stricte, retry automatique, estimation portée à 13 SP.</t>
  </si>
  <si>
    <t>J3 Sécurité</t>
  </si>
  <si>
    <t>Ajout de US-27, US-28, US-29 pour traiter la prompt injection avant la livraison MVP.</t>
  </si>
  <si>
    <t>J3-bis RGPD</t>
  </si>
  <si>
    <t>Ajout de US-30 à US-35 pour traiter la demande Article 15 de Hugo Petit, avec arbitrage entre conformité minimale R1 et fonctionnalités techniques R2.</t>
  </si>
  <si>
    <t>Backlog initial conservé et enrichi après perturbations. Les nouvelles US-27 à US-35 ont été ajoutées sans supprimer les stories existantes.</t>
  </si>
  <si>
    <t>Les nouvelles stories sont rédigées au format “En tant que… je veux… afin de…”. Les critères d’acceptation sont testables.</t>
  </si>
  <si>
    <t>Les nouvelles stories sécurité sont en MUST ; les stories RGPD décisionnelles sont en MUST ; l’export complet et le bouton frontend sont en SHOULD. Chaque story indique un persona ou rôle cible.</t>
  </si>
  <si>
    <t>Les F1-F6 restent conservées dans le backlog. Les nouvelles stories J3/J3-bis s’ajoutent comme contraintes critiques de sécurité/conformité sans remplacer le MVP initial.</t>
  </si>
  <si>
    <t>Les stories ajoutées disposent de critères d’acceptation formulés avec contexte, action et résultat attendu.</t>
  </si>
  <si>
    <t>Les nouvelles US-27 à US-29 sont rattachées à EP-03/EP-04 ; les US-30 à US-35 sont rattachées à EP-06.</t>
  </si>
  <si>
    <t>US-03 est re-estimée à 13 SP ; les nouvelles US-27 à US-35 ont chacune une estimation en SP.</t>
  </si>
  <si>
    <t>DoR/DoD existantes conservées. À compléter collectivement si l’équipe veut ajouter des critères spécifiques sécurité/RGPD.</t>
  </si>
  <si>
    <t>Backlog réordonné autour des priorités : MVP F1-F6, sécurité prompt injection avant Release 1, conformité RGPD minimale en Release 1, export complet reporté en Release 2.</t>
  </si>
  <si>
    <t>Les nouvelles stories ont été vérifiées pour être indépendantes, négociables, porteuses de valeur, estimables, petites et testables. À confirmer collectivement en revue d’équipe.</t>
  </si>
  <si>
    <t>X Oui   ☐ Partiel   ☐ Non</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</si>
</sst>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fonts count="34" x14ac:knownFonts="1">
    <font>
      <sz val="11"/>
      <color theme="1"/>
      <name val="Calibri"/>
      <family val="2"/>
      <scheme val="minor"/>
    </font>
    <font>
      <b/>
      <sz val="72"/>
      <color rgb="FF1E1B4B"/>
      <name val="Calibri"/>
    </font>
    <font>
      <b/>
      <sz val="14"/>
      <color rgb="FF1E1B4B"/>
      <name val="Calibri"/>
    </font>
    <font>
      <b/>
      <sz val="10"/>
      <color rgb="FFF59E0B"/>
      <name val="Calibri"/>
    </font>
    <font>
      <b/>
      <sz val="24"/>
      <color rgb="FF1E1B4B"/>
      <name val="Calibri"/>
    </font>
    <font>
      <i/>
      <sz val="12"/>
      <color rgb="FF475569"/>
      <name val="Calibri"/>
    </font>
    <font>
      <b/>
      <sz val="11"/>
      <color rgb="FF475569"/>
      <name val="Calibri"/>
    </font>
    <font>
      <i/>
      <sz val="9"/>
      <color rgb="FF475569"/>
      <name val="Calibri"/>
    </font>
    <font>
      <b/>
      <sz val="12"/>
      <color rgb="FFF59E0B"/>
      <name val="Calibri"/>
    </font>
    <font>
      <i/>
      <sz val="10"/>
      <color rgb="FF475569"/>
      <name val="Calibri"/>
    </font>
    <font>
      <b/>
      <sz val="11"/>
      <color rgb="FF1E1B4B"/>
      <name val="Calibri"/>
    </font>
    <font>
      <i/>
      <sz val="11"/>
      <color rgb="FF475569"/>
      <name val="Calibri"/>
    </font>
    <font>
      <b/>
      <sz val="9"/>
      <color rgb="FFF59E0B"/>
      <name val="Calibri"/>
    </font>
    <font>
      <b/>
      <sz val="18"/>
      <color rgb="FF1E1B4B"/>
      <name val="Calibri"/>
    </font>
    <font>
      <b/>
      <sz val="11"/>
      <color rgb="FFFFFFFF"/>
      <name val="Calibri"/>
    </font>
    <font>
      <sz val="10"/>
      <color rgb="FF1E1B4B"/>
      <name val="Calibri"/>
    </font>
    <font>
      <b/>
      <sz val="11"/>
      <color rgb="FF1E1B4B"/>
      <name val="Calibri"/>
    </font>
    <font>
      <b/>
      <sz val="10"/>
      <color rgb="FF16A34A"/>
      <name val="Calibri"/>
    </font>
    <font>
      <b/>
      <sz val="10"/>
      <color rgb="FFDC2626"/>
      <name val="Calibri"/>
    </font>
    <font>
      <sz val="9"/>
      <color rgb="FF1E1B4B"/>
      <name val="Calibri"/>
    </font>
    <font>
      <b/>
      <sz val="10"/>
      <color rgb="FF1E1B4B"/>
      <name val="Calibri"/>
    </font>
    <font>
      <b/>
      <sz val="10"/>
      <color rgb="FFB45309"/>
      <name val="Calibri"/>
    </font>
    <font>
      <b/>
      <sz val="10"/>
      <color rgb="FF475569"/>
      <name val="Calibri"/>
    </font>
    <font>
      <b/>
      <sz val="14"/>
      <color rgb="FF16A34A"/>
      <name val="Calibri"/>
    </font>
    <font>
      <sz val="11"/>
      <color rgb="FF1E1B4B"/>
      <name val="Calibri"/>
    </font>
    <font>
      <b/>
      <sz val="11"/>
      <color theme="1"/>
      <name val="Calibri"/>
      <family val="2"/>
      <scheme val="minor"/>
    </font>
    <font>
      <i/>
      <sz val="11"/>
      <color rgb="FF475569"/>
      <name val="Calibri"/>
      <family val="2"/>
    </font>
    <font>
      <sz val="9"/>
      <color rgb="FF1E1B4B"/>
      <name val="Calibri"/>
      <family val="2"/>
    </font>
    <font>
      <b/>
      <sz val="10"/>
      <color rgb="FF1E1B4B"/>
      <name val="Calibri"/>
      <family val="2"/>
    </font>
    <font>
      <i/>
      <sz val="10"/>
      <color rgb="FF475569"/>
      <name val="Calibri"/>
      <family val="2"/>
    </font>
    <font>
      <sz val="10"/>
      <color rgb="FF1E1B4B"/>
      <name val="Calibri"/>
      <family val="2"/>
    </font>
    <font>
      <sz val="9"/>
      <color rgb="FF1E1B4B"/>
      <name val="Calibri"/>
      <family val="2"/>
      <scheme val="minor"/>
    </font>
    <font>
      <b/>
      <sz val="13.5"/>
      <color theme="1"/>
      <name val="Calibri"/>
      <family val="2"/>
      <scheme val="minor"/>
    </font>
    <font>
      <b/>
      <sz val="18"/>
      <color theme="1"/>
      <name val="Calibri"/>
      <family val="2"/>
      <scheme val="minor"/>
    </font>
  </fonts>
  <fills count="9">
    <fill>
      <patternFill patternType="none"/>
    </fill>
    <fill>
      <patternFill patternType="gray125"/>
    </fill>
    <fill>
      <patternFill patternType="solid">
        <fgColor rgb="FFF8FAFC"/>
        <bgColor rgb="FFF8FAFC"/>
      </patternFill>
    </fill>
    <fill>
      <patternFill patternType="solid">
        <fgColor rgb="FF1E1B4B"/>
        <bgColor rgb="FF1E1B4B"/>
      </patternFill>
    </fill>
    <fill>
      <patternFill patternType="solid">
        <fgColor rgb="FFFECACA"/>
        <bgColor rgb="FFFECACA"/>
      </patternFill>
    </fill>
    <fill>
      <patternFill patternType="solid">
        <fgColor rgb="FFFEF3C7"/>
        <bgColor rgb="FFFEF3C7"/>
      </patternFill>
    </fill>
    <fill>
      <patternFill patternType="solid">
        <fgColor rgb="FFDCFCE7"/>
        <bgColor rgb="FFDCFCE7"/>
      </patternFill>
    </fill>
    <fill>
      <patternFill patternType="solid">
        <fgColor rgb="FFE2E8F0"/>
        <bgColor rgb="FFE2E8F0"/>
      </patternFill>
    </fill>
    <fill>
      <patternFill patternType="solid">
        <fgColor rgb="FFE0E7FF"/>
        <bgColor rgb="FFE0E7FF"/>
      </patternFill>
    </fill>
  </fills>
  <borders count="4">
    <border>
      <left/>
      <right/>
      <top/>
      <bottom/>
      <diagonal/>
    </border>
    <border>
      <left style="thin">
        <color rgb="FFCCCCCC"/>
      </left>
      <right style="thin">
        <color rgb="FFCCCCCC"/>
      </right>
      <top style="thin">
        <color rgb="FFCCCCCC"/>
      </top>
      <bottom style="thin">
        <color rgb="FFCCCCCC"/>
      </bottom>
      <diagonal/>
    </border>
    <border>
      <left style="thin">
        <color rgb="FF94A3B8"/>
      </left>
      <right style="thin">
        <color rgb="FF94A3B8"/>
      </right>
      <top style="thin">
        <color rgb="FF94A3B8"/>
      </top>
      <bottom style="thin">
        <color rgb="FF94A3B8"/>
      </bottom>
      <diagonal/>
    </border>
    <border>
      <left style="thin">
        <color indexed="64"/>
      </left>
      <right style="thin">
        <color indexed="64"/>
      </right>
      <top style="thin">
        <color indexed="64"/>
      </top>
      <bottom style="thin">
        <color indexed="64"/>
      </bottom>
      <diagonal/>
    </border>
  </borders>
  <cellStyleXfs count="1">
    <xf numFmtId="0" fontId="0" fillId="0" borderId="0"/>
  </cellStyleXfs>
  <cellXfs count="51">
    <xf numFmtId="0" fontId="0" fillId="0" borderId="0" xfId="0"/>
    <xf numFmtId="0" fontId="1" fillId="0" borderId="0" xfId="0" applyFont="1"/>
    <xf numFmtId="0" fontId="2" fillId="0" borderId="0" xfId="0" applyFont="1"/>
    <xf numFmtId="0" fontId="3" fillId="0" borderId="0" xfId="0" applyFont="1"/>
    <xf numFmtId="0" fontId="4" fillId="0" borderId="0" xfId="0" applyFont="1"/>
    <xf numFmtId="0" fontId="5" fillId="0" borderId="0" xfId="0" applyFont="1"/>
    <xf numFmtId="0" fontId="6" fillId="0" borderId="0" xfId="0" applyFont="1"/>
    <xf numFmtId="0" fontId="7" fillId="0" borderId="0" xfId="0" applyFont="1"/>
    <xf numFmtId="0" fontId="8" fillId="0" borderId="0" xfId="0" applyFont="1"/>
    <xf numFmtId="0" fontId="9" fillId="0" borderId="0" xfId="0" applyFont="1"/>
    <xf numFmtId="0" fontId="12" fillId="0" borderId="0" xfId="0" applyFont="1"/>
    <xf numFmtId="0" fontId="13" fillId="0" borderId="0" xfId="0" applyFont="1"/>
    <xf numFmtId="0" fontId="14" fillId="3" borderId="1" xfId="0" applyFont="1" applyFill="1" applyBorder="1" applyAlignment="1">
      <alignment horizontal="center" vertical="center" wrapText="1"/>
    </xf>
    <xf numFmtId="0" fontId="16" fillId="0" borderId="2" xfId="0" applyFont="1" applyBorder="1" applyAlignment="1">
      <alignment vertical="center" wrapText="1"/>
    </xf>
    <xf numFmtId="0" fontId="15" fillId="0" borderId="2" xfId="0" applyFont="1" applyBorder="1" applyAlignment="1">
      <alignment vertical="center" wrapText="1"/>
    </xf>
    <xf numFmtId="0" fontId="17" fillId="0" borderId="0" xfId="0" applyFont="1"/>
    <xf numFmtId="0" fontId="18" fillId="0" borderId="0" xfId="0" applyFont="1"/>
    <xf numFmtId="0" fontId="18" fillId="4" borderId="2" xfId="0" applyFont="1" applyFill="1" applyBorder="1" applyAlignment="1">
      <alignment horizontal="center" vertical="center"/>
    </xf>
    <xf numFmtId="0" fontId="21" fillId="5" borderId="2" xfId="0" applyFont="1" applyFill="1" applyBorder="1" applyAlignment="1">
      <alignment horizontal="center" vertical="center"/>
    </xf>
    <xf numFmtId="0" fontId="17" fillId="6" borderId="2" xfId="0" applyFont="1" applyFill="1" applyBorder="1" applyAlignment="1">
      <alignment horizontal="center" vertical="center"/>
    </xf>
    <xf numFmtId="0" fontId="22" fillId="7" borderId="2" xfId="0" applyFont="1" applyFill="1" applyBorder="1" applyAlignment="1">
      <alignment horizontal="center" vertical="center"/>
    </xf>
    <xf numFmtId="0" fontId="23" fillId="0" borderId="0" xfId="0" applyFont="1"/>
    <xf numFmtId="0" fontId="24" fillId="0" borderId="0" xfId="0" applyFont="1"/>
    <xf numFmtId="0" fontId="0" fillId="0" borderId="0" xfId="0" applyAlignment="1">
      <alignment vertical="center" wrapText="1"/>
    </xf>
    <xf numFmtId="0" fontId="0" fillId="0" borderId="0" xfId="0" applyAlignment="1">
      <alignment horizontal="center" vertical="center"/>
    </xf>
    <xf numFmtId="0" fontId="11" fillId="0" borderId="1" xfId="0" applyFont="1" applyBorder="1" applyAlignment="1">
      <alignment horizontal="left" vertical="center"/>
    </xf>
    <xf numFmtId="0" fontId="0" fillId="0" borderId="0" xfId="0" applyAlignment="1">
      <alignment horizontal="center"/>
    </xf>
    <xf numFmtId="0" fontId="26" fillId="0" borderId="1" xfId="0" applyFont="1" applyBorder="1" applyAlignment="1">
      <alignment vertical="center" wrapText="1"/>
    </xf>
    <xf numFmtId="0" fontId="10" fillId="2" borderId="1" xfId="0" applyFont="1" applyFill="1" applyBorder="1" applyAlignment="1">
      <alignment vertical="center"/>
    </xf>
    <xf numFmtId="0" fontId="26" fillId="0" borderId="1" xfId="0" applyFont="1" applyBorder="1"/>
    <xf numFmtId="22" fontId="11" fillId="0" borderId="1" xfId="0" applyNumberFormat="1" applyFont="1" applyBorder="1"/>
    <xf numFmtId="0" fontId="20" fillId="0" borderId="2" xfId="0" applyFont="1" applyBorder="1" applyAlignment="1">
      <alignment horizontal="center" vertical="center" wrapText="1"/>
    </xf>
    <xf numFmtId="0" fontId="19" fillId="0" borderId="2" xfId="0" applyFont="1" applyBorder="1" applyAlignment="1">
      <alignment horizontal="center" vertical="center" wrapText="1"/>
    </xf>
    <xf numFmtId="0" fontId="27" fillId="0" borderId="2" xfId="0" applyFont="1" applyBorder="1" applyAlignment="1">
      <alignment horizontal="center" vertical="center" wrapText="1"/>
    </xf>
    <xf numFmtId="0" fontId="16" fillId="8" borderId="2" xfId="0" applyFont="1" applyFill="1" applyBorder="1" applyAlignment="1">
      <alignment horizontal="center" vertical="center"/>
    </xf>
    <xf numFmtId="0" fontId="0" fillId="8" borderId="2" xfId="0" applyFill="1" applyBorder="1" applyAlignment="1">
      <alignment horizontal="center" vertical="center"/>
    </xf>
    <xf numFmtId="0" fontId="19" fillId="0" borderId="2" xfId="0" applyFont="1" applyBorder="1" applyAlignment="1">
      <alignment horizontal="left" vertical="center" wrapText="1"/>
    </xf>
    <xf numFmtId="0" fontId="0" fillId="0" borderId="0" xfId="0" applyAlignment="1">
      <alignment horizontal="left" vertical="center"/>
    </xf>
    <xf numFmtId="0" fontId="16" fillId="8" borderId="2" xfId="0" applyFont="1" applyFill="1" applyBorder="1" applyAlignment="1">
      <alignment horizontal="left" vertical="center"/>
    </xf>
    <xf numFmtId="0" fontId="0" fillId="8" borderId="2" xfId="0" applyFill="1" applyBorder="1" applyAlignment="1">
      <alignment horizontal="left" vertical="center"/>
    </xf>
    <xf numFmtId="0" fontId="9" fillId="8" borderId="2" xfId="0" applyFont="1" applyFill="1" applyBorder="1" applyAlignment="1">
      <alignment horizontal="left" vertical="center"/>
    </xf>
    <xf numFmtId="0" fontId="28" fillId="0" borderId="2" xfId="0" applyFont="1" applyBorder="1" applyAlignment="1">
      <alignment horizontal="center" vertical="center" wrapText="1"/>
    </xf>
    <xf numFmtId="0" fontId="27" fillId="0" borderId="2" xfId="0" applyFont="1" applyBorder="1" applyAlignment="1">
      <alignment horizontal="left" vertical="center" wrapText="1"/>
    </xf>
    <xf numFmtId="0" fontId="29" fillId="8" borderId="2" xfId="0" applyFont="1" applyFill="1" applyBorder="1" applyAlignment="1">
      <alignment horizontal="left" vertical="center"/>
    </xf>
    <xf numFmtId="0" fontId="30" fillId="0" borderId="2" xfId="0" applyFont="1" applyBorder="1" applyAlignment="1">
      <alignment vertical="center" wrapText="1"/>
    </xf>
    <xf numFmtId="0" fontId="31" fillId="0" borderId="2" xfId="0" applyFont="1" applyBorder="1" applyAlignment="1">
      <alignment horizontal="left" vertical="center" wrapText="1"/>
    </xf>
    <xf numFmtId="0" fontId="31" fillId="0" borderId="2" xfId="0" applyFont="1" applyBorder="1" applyAlignment="1">
      <alignment horizontal="center" vertical="center" wrapText="1"/>
    </xf>
    <xf numFmtId="0" fontId="32" fillId="0" borderId="0" xfId="0" applyFont="1" applyAlignment="1">
      <alignment vertical="center"/>
    </xf>
    <xf numFmtId="0" fontId="33" fillId="0" borderId="3" xfId="0" applyFont="1" applyBorder="1" applyAlignment="1">
      <alignment vertical="center"/>
    </xf>
    <xf numFmtId="0" fontId="0" fillId="0" borderId="3" xfId="0" applyBorder="1"/>
    <xf numFmtId="0" fontId="0" fillId="0" borderId="3" xfId="0" applyBorder="1" applyAlignment="1">
      <alignment vertical="center" wrapText="1"/>
    </xf>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calcChain" Target="calcChain.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sharedStrings" Target="sharedStrings.xml"/><Relationship Id="rId5" Type="http://schemas.openxmlformats.org/officeDocument/2006/relationships/worksheet" Target="worksheets/sheet5.xml"/><Relationship Id="rId10" Type="http://schemas.openxmlformats.org/officeDocument/2006/relationships/styles" Target="styles.xml"/><Relationship Id="rId4" Type="http://schemas.openxmlformats.org/officeDocument/2006/relationships/worksheet" Target="worksheets/sheet4.xml"/><Relationship Id="rId9" Type="http://schemas.openxmlformats.org/officeDocument/2006/relationships/theme" Target="theme/theme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6.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Feuil1"/>
  <dimension ref="B2:B21"/>
  <sheetViews>
    <sheetView showGridLines="0" workbookViewId="0"/>
  </sheetViews>
  <sheetFormatPr baseColWidth="10" defaultColWidth="8.77734375" defaultRowHeight="14.4" x14ac:dyDescent="0.3"/>
  <cols>
    <col min="1" max="1" width="4" customWidth="1"/>
    <col min="2" max="2" width="90" customWidth="1"/>
  </cols>
  <sheetData>
    <row r="2" spans="2:2" ht="91.8" x14ac:dyDescent="1.65">
      <c r="B2" s="1" t="s">
        <v>0</v>
      </c>
    </row>
    <row r="4" spans="2:2" ht="18" x14ac:dyDescent="0.35">
      <c r="B4" s="2" t="s">
        <v>1</v>
      </c>
    </row>
    <row r="8" spans="2:2" x14ac:dyDescent="0.3">
      <c r="B8" s="3" t="s">
        <v>2</v>
      </c>
    </row>
    <row r="10" spans="2:2" ht="31.2" x14ac:dyDescent="0.6">
      <c r="B10" s="4" t="s">
        <v>3</v>
      </c>
    </row>
    <row r="12" spans="2:2" ht="15.6" x14ac:dyDescent="0.3">
      <c r="B12" s="5" t="s">
        <v>4</v>
      </c>
    </row>
    <row r="20" spans="2:2" x14ac:dyDescent="0.3">
      <c r="B20" s="6" t="s">
        <v>5</v>
      </c>
    </row>
    <row r="21" spans="2:2" x14ac:dyDescent="0.3">
      <c r="B21" s="7" t="s">
        <v>6</v>
      </c>
    </row>
  </sheetData>
  <pageMargins left="0.75" right="0.75" top="1" bottom="1" header="0.5" footer="0.5"/>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Feuil2"/>
  <dimension ref="B2:C13"/>
  <sheetViews>
    <sheetView showGridLines="0" topLeftCell="A3" workbookViewId="0">
      <selection activeCell="C10" sqref="C10"/>
    </sheetView>
  </sheetViews>
  <sheetFormatPr baseColWidth="10" defaultColWidth="8.77734375" defaultRowHeight="14.4" x14ac:dyDescent="0.3"/>
  <cols>
    <col min="1" max="1" width="2" customWidth="1"/>
    <col min="2" max="2" width="25" customWidth="1"/>
    <col min="3" max="3" width="98.5546875" customWidth="1"/>
  </cols>
  <sheetData>
    <row r="2" spans="2:3" ht="15.6" x14ac:dyDescent="0.3">
      <c r="B2" s="8" t="s">
        <v>7</v>
      </c>
    </row>
    <row r="3" spans="2:3" x14ac:dyDescent="0.3">
      <c r="B3" s="9" t="s">
        <v>8</v>
      </c>
    </row>
    <row r="5" spans="2:3" ht="22.05" customHeight="1" x14ac:dyDescent="0.3">
      <c r="B5" s="28" t="s">
        <v>9</v>
      </c>
      <c r="C5" s="25">
        <v>28</v>
      </c>
    </row>
    <row r="6" spans="2:3" ht="34.5" customHeight="1" x14ac:dyDescent="0.3">
      <c r="B6" s="28" t="s">
        <v>10</v>
      </c>
      <c r="C6" s="27" t="s">
        <v>182</v>
      </c>
    </row>
    <row r="7" spans="2:3" ht="22.05" customHeight="1" x14ac:dyDescent="0.3">
      <c r="B7" s="28" t="s">
        <v>11</v>
      </c>
      <c r="C7" s="29" t="s">
        <v>210</v>
      </c>
    </row>
    <row r="8" spans="2:3" ht="22.05" customHeight="1" x14ac:dyDescent="0.3">
      <c r="B8" s="28" t="s">
        <v>12</v>
      </c>
      <c r="C8" s="29" t="s">
        <v>211</v>
      </c>
    </row>
    <row r="9" spans="2:3" ht="22.05" customHeight="1" x14ac:dyDescent="0.3">
      <c r="B9" s="28" t="s">
        <v>13</v>
      </c>
      <c r="C9" s="30" t="s">
        <v>212</v>
      </c>
    </row>
    <row r="10" spans="2:3" ht="22.05" customHeight="1" x14ac:dyDescent="0.3">
      <c r="B10" s="28" t="s">
        <v>14</v>
      </c>
      <c r="C10" s="29" t="s">
        <v>183</v>
      </c>
    </row>
    <row r="12" spans="2:3" x14ac:dyDescent="0.3">
      <c r="B12" s="10" t="s">
        <v>15</v>
      </c>
    </row>
    <row r="13" spans="2:3" x14ac:dyDescent="0.3">
      <c r="B13" s="7" t="s">
        <v>16</v>
      </c>
    </row>
  </sheetData>
  <pageMargins left="0.75" right="0.75" top="1" bottom="1" header="0.5" footer="0.5"/>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Feuil3"/>
  <dimension ref="A1:E12"/>
  <sheetViews>
    <sheetView showGridLines="0" workbookViewId="0">
      <selection activeCell="D23" sqref="D23"/>
    </sheetView>
  </sheetViews>
  <sheetFormatPr baseColWidth="10" defaultColWidth="8.77734375" defaultRowHeight="14.4" x14ac:dyDescent="0.3"/>
  <cols>
    <col min="1" max="1" width="8" customWidth="1"/>
    <col min="2" max="2" width="30" customWidth="1"/>
    <col min="3" max="3" width="25" customWidth="1"/>
    <col min="4" max="4" width="32" customWidth="1"/>
    <col min="5" max="5" width="10" customWidth="1"/>
  </cols>
  <sheetData>
    <row r="1" spans="1:5" ht="23.4" x14ac:dyDescent="0.45">
      <c r="A1" s="11" t="s">
        <v>17</v>
      </c>
    </row>
    <row r="2" spans="1:5" x14ac:dyDescent="0.3">
      <c r="A2" s="9" t="s">
        <v>18</v>
      </c>
    </row>
    <row r="4" spans="1:5" x14ac:dyDescent="0.3">
      <c r="A4" s="3" t="s">
        <v>19</v>
      </c>
      <c r="B4" s="9" t="s">
        <v>20</v>
      </c>
    </row>
    <row r="6" spans="1:5" ht="28.8" x14ac:dyDescent="0.3">
      <c r="A6" s="12" t="s">
        <v>21</v>
      </c>
      <c r="B6" s="12" t="s">
        <v>22</v>
      </c>
      <c r="C6" s="12" t="s">
        <v>23</v>
      </c>
      <c r="D6" s="12" t="s">
        <v>24</v>
      </c>
      <c r="E6" s="12" t="s">
        <v>25</v>
      </c>
    </row>
    <row r="7" spans="1:5" ht="30" customHeight="1" x14ac:dyDescent="0.3">
      <c r="A7" s="13" t="s">
        <v>26</v>
      </c>
      <c r="B7" s="14" t="s">
        <v>27</v>
      </c>
      <c r="C7" s="14" t="s">
        <v>28</v>
      </c>
      <c r="D7" s="14" t="s">
        <v>29</v>
      </c>
      <c r="E7" s="14">
        <v>13</v>
      </c>
    </row>
    <row r="8" spans="1:5" ht="30" customHeight="1" x14ac:dyDescent="0.3">
      <c r="A8" s="13" t="s">
        <v>30</v>
      </c>
      <c r="B8" s="14" t="s">
        <v>31</v>
      </c>
      <c r="C8" s="14" t="s">
        <v>32</v>
      </c>
      <c r="D8" s="14" t="s">
        <v>33</v>
      </c>
      <c r="E8" s="14">
        <v>18</v>
      </c>
    </row>
    <row r="9" spans="1:5" ht="30" customHeight="1" x14ac:dyDescent="0.3">
      <c r="A9" s="13" t="s">
        <v>34</v>
      </c>
      <c r="B9" s="14" t="s">
        <v>35</v>
      </c>
      <c r="C9" s="14" t="s">
        <v>36</v>
      </c>
      <c r="D9" s="14" t="s">
        <v>37</v>
      </c>
      <c r="E9" s="14">
        <v>47</v>
      </c>
    </row>
    <row r="10" spans="1:5" ht="30" customHeight="1" x14ac:dyDescent="0.3">
      <c r="A10" s="13" t="s">
        <v>38</v>
      </c>
      <c r="B10" s="14" t="s">
        <v>39</v>
      </c>
      <c r="C10" s="14" t="s">
        <v>40</v>
      </c>
      <c r="D10" s="14" t="s">
        <v>41</v>
      </c>
      <c r="E10" s="14">
        <v>22</v>
      </c>
    </row>
    <row r="11" spans="1:5" ht="30" customHeight="1" x14ac:dyDescent="0.3">
      <c r="A11" s="13" t="s">
        <v>42</v>
      </c>
      <c r="B11" s="14" t="s">
        <v>43</v>
      </c>
      <c r="C11" s="14" t="s">
        <v>44</v>
      </c>
      <c r="D11" s="14" t="s">
        <v>45</v>
      </c>
      <c r="E11" s="14">
        <v>16</v>
      </c>
    </row>
    <row r="12" spans="1:5" ht="30" customHeight="1" x14ac:dyDescent="0.3">
      <c r="A12" s="13" t="s">
        <v>46</v>
      </c>
      <c r="B12" s="14" t="s">
        <v>47</v>
      </c>
      <c r="C12" s="14" t="s">
        <v>48</v>
      </c>
      <c r="D12" s="14" t="s">
        <v>49</v>
      </c>
      <c r="E12" s="14">
        <v>10</v>
      </c>
    </row>
  </sheetData>
  <pageMargins left="0.75" right="0.75" top="1" bottom="1" header="0.5" footer="0.5"/>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Feuil4"/>
  <dimension ref="A1:K30"/>
  <sheetViews>
    <sheetView showGridLines="0" topLeftCell="C1" zoomScaleNormal="100" workbookViewId="0">
      <pane ySplit="9" topLeftCell="A24" activePane="bottomLeft" state="frozen"/>
      <selection pane="bottomLeft" activeCell="P24" sqref="P24"/>
    </sheetView>
  </sheetViews>
  <sheetFormatPr baseColWidth="10" defaultColWidth="8.77734375" defaultRowHeight="14.4" x14ac:dyDescent="0.3"/>
  <cols>
    <col min="1" max="2" width="8" customWidth="1"/>
    <col min="3" max="3" width="38" customWidth="1"/>
    <col min="4" max="4" width="13" customWidth="1"/>
    <col min="5" max="5" width="9" style="24" customWidth="1"/>
    <col min="6" max="6" width="6" style="26" customWidth="1"/>
    <col min="7" max="7" width="35" customWidth="1"/>
    <col min="8" max="9" width="6" customWidth="1"/>
    <col min="10" max="10" width="8" customWidth="1"/>
    <col min="11" max="11" width="10" customWidth="1"/>
  </cols>
  <sheetData>
    <row r="1" spans="1:11" ht="23.4" x14ac:dyDescent="0.45">
      <c r="A1" s="11" t="s">
        <v>50</v>
      </c>
    </row>
    <row r="2" spans="1:11" x14ac:dyDescent="0.3">
      <c r="A2" s="9" t="s">
        <v>51</v>
      </c>
    </row>
    <row r="4" spans="1:11" x14ac:dyDescent="0.3">
      <c r="A4" s="3" t="s">
        <v>19</v>
      </c>
      <c r="B4" s="9" t="s">
        <v>52</v>
      </c>
    </row>
    <row r="5" spans="1:11" x14ac:dyDescent="0.3">
      <c r="A5" s="3" t="s">
        <v>53</v>
      </c>
      <c r="B5" s="9" t="s">
        <v>54</v>
      </c>
    </row>
    <row r="6" spans="1:11" x14ac:dyDescent="0.3">
      <c r="A6" s="15" t="s">
        <v>55</v>
      </c>
      <c r="B6" s="9" t="s">
        <v>56</v>
      </c>
    </row>
    <row r="7" spans="1:11" x14ac:dyDescent="0.3">
      <c r="A7" s="16" t="s">
        <v>57</v>
      </c>
      <c r="B7" s="9" t="s">
        <v>58</v>
      </c>
    </row>
    <row r="9" spans="1:11" ht="28.8" x14ac:dyDescent="0.3">
      <c r="A9" s="12" t="s">
        <v>21</v>
      </c>
      <c r="B9" s="12" t="s">
        <v>22</v>
      </c>
      <c r="C9" s="12" t="s">
        <v>59</v>
      </c>
      <c r="D9" s="12" t="s">
        <v>60</v>
      </c>
      <c r="E9" s="12" t="s">
        <v>61</v>
      </c>
      <c r="F9" s="12" t="s">
        <v>62</v>
      </c>
      <c r="G9" s="12" t="s">
        <v>63</v>
      </c>
      <c r="H9" s="12" t="s">
        <v>64</v>
      </c>
      <c r="I9" s="12" t="s">
        <v>65</v>
      </c>
      <c r="J9" s="12" t="s">
        <v>66</v>
      </c>
      <c r="K9" s="12" t="s">
        <v>14</v>
      </c>
    </row>
    <row r="10" spans="1:11" s="37" customFormat="1" ht="70.05" customHeight="1" x14ac:dyDescent="0.3">
      <c r="A10" s="31" t="s">
        <v>67</v>
      </c>
      <c r="B10" s="32" t="s">
        <v>26</v>
      </c>
      <c r="C10" s="36" t="s">
        <v>68</v>
      </c>
      <c r="D10" s="36" t="s">
        <v>206</v>
      </c>
      <c r="E10" s="17" t="s">
        <v>69</v>
      </c>
      <c r="F10" s="32">
        <v>3</v>
      </c>
      <c r="G10" s="36" t="s">
        <v>70</v>
      </c>
      <c r="H10" s="32" t="s">
        <v>71</v>
      </c>
      <c r="I10" s="32" t="s">
        <v>71</v>
      </c>
      <c r="J10" s="32" t="s">
        <v>72</v>
      </c>
      <c r="K10" s="32" t="s">
        <v>73</v>
      </c>
    </row>
    <row r="11" spans="1:11" s="37" customFormat="1" ht="70.05" customHeight="1" x14ac:dyDescent="0.3">
      <c r="A11" s="31" t="s">
        <v>74</v>
      </c>
      <c r="B11" s="32" t="s">
        <v>30</v>
      </c>
      <c r="C11" s="36" t="s">
        <v>75</v>
      </c>
      <c r="D11" s="36" t="s">
        <v>206</v>
      </c>
      <c r="E11" s="17" t="s">
        <v>69</v>
      </c>
      <c r="F11" s="32">
        <v>5</v>
      </c>
      <c r="G11" s="36" t="s">
        <v>76</v>
      </c>
      <c r="H11" s="32" t="s">
        <v>71</v>
      </c>
      <c r="I11" s="32" t="s">
        <v>71</v>
      </c>
      <c r="J11" s="32" t="s">
        <v>72</v>
      </c>
      <c r="K11" s="32" t="s">
        <v>73</v>
      </c>
    </row>
    <row r="12" spans="1:11" s="37" customFormat="1" ht="70.05" customHeight="1" x14ac:dyDescent="0.3">
      <c r="A12" s="31" t="s">
        <v>77</v>
      </c>
      <c r="B12" s="32" t="s">
        <v>34</v>
      </c>
      <c r="C12" s="36" t="s">
        <v>78</v>
      </c>
      <c r="D12" s="36" t="s">
        <v>206</v>
      </c>
      <c r="E12" s="17" t="s">
        <v>69</v>
      </c>
      <c r="F12" s="32">
        <v>8</v>
      </c>
      <c r="G12" s="36" t="s">
        <v>79</v>
      </c>
      <c r="H12" s="32" t="s">
        <v>71</v>
      </c>
      <c r="I12" s="32" t="s">
        <v>71</v>
      </c>
      <c r="J12" s="32" t="s">
        <v>80</v>
      </c>
      <c r="K12" s="32" t="s">
        <v>73</v>
      </c>
    </row>
    <row r="13" spans="1:11" s="37" customFormat="1" ht="70.05" customHeight="1" x14ac:dyDescent="0.3">
      <c r="A13" s="31" t="s">
        <v>81</v>
      </c>
      <c r="B13" s="32" t="s">
        <v>38</v>
      </c>
      <c r="C13" s="36" t="s">
        <v>82</v>
      </c>
      <c r="D13" s="36" t="s">
        <v>206</v>
      </c>
      <c r="E13" s="17" t="s">
        <v>69</v>
      </c>
      <c r="F13" s="32">
        <v>3</v>
      </c>
      <c r="G13" s="36" t="s">
        <v>83</v>
      </c>
      <c r="H13" s="32" t="s">
        <v>71</v>
      </c>
      <c r="I13" s="32" t="s">
        <v>71</v>
      </c>
      <c r="J13" s="32" t="s">
        <v>84</v>
      </c>
      <c r="K13" s="32" t="s">
        <v>73</v>
      </c>
    </row>
    <row r="14" spans="1:11" s="37" customFormat="1" ht="70.05" customHeight="1" x14ac:dyDescent="0.3">
      <c r="A14" s="31" t="s">
        <v>85</v>
      </c>
      <c r="B14" s="32" t="s">
        <v>38</v>
      </c>
      <c r="C14" s="36" t="s">
        <v>86</v>
      </c>
      <c r="D14" s="36" t="s">
        <v>206</v>
      </c>
      <c r="E14" s="17" t="s">
        <v>69</v>
      </c>
      <c r="F14" s="32">
        <v>3</v>
      </c>
      <c r="G14" s="36" t="s">
        <v>87</v>
      </c>
      <c r="H14" s="32" t="s">
        <v>71</v>
      </c>
      <c r="I14" s="32" t="s">
        <v>71</v>
      </c>
      <c r="J14" s="32" t="s">
        <v>84</v>
      </c>
      <c r="K14" s="32" t="s">
        <v>73</v>
      </c>
    </row>
    <row r="15" spans="1:11" s="37" customFormat="1" ht="70.05" customHeight="1" x14ac:dyDescent="0.3">
      <c r="A15" s="31" t="s">
        <v>88</v>
      </c>
      <c r="B15" s="32" t="s">
        <v>42</v>
      </c>
      <c r="C15" s="36" t="s">
        <v>89</v>
      </c>
      <c r="D15" s="36" t="s">
        <v>206</v>
      </c>
      <c r="E15" s="17" t="s">
        <v>69</v>
      </c>
      <c r="F15" s="32">
        <v>3</v>
      </c>
      <c r="G15" s="36" t="s">
        <v>90</v>
      </c>
      <c r="H15" s="32" t="s">
        <v>71</v>
      </c>
      <c r="I15" s="32" t="s">
        <v>71</v>
      </c>
      <c r="J15" s="32" t="s">
        <v>91</v>
      </c>
      <c r="K15" s="32" t="s">
        <v>73</v>
      </c>
    </row>
    <row r="16" spans="1:11" s="37" customFormat="1" ht="70.05" customHeight="1" x14ac:dyDescent="0.3">
      <c r="A16" s="31" t="s">
        <v>92</v>
      </c>
      <c r="B16" s="32" t="s">
        <v>26</v>
      </c>
      <c r="C16" s="36" t="s">
        <v>93</v>
      </c>
      <c r="D16" s="36" t="s">
        <v>206</v>
      </c>
      <c r="E16" s="18" t="s">
        <v>94</v>
      </c>
      <c r="F16" s="32">
        <v>3</v>
      </c>
      <c r="G16" s="36" t="s">
        <v>95</v>
      </c>
      <c r="H16" s="32" t="s">
        <v>71</v>
      </c>
      <c r="I16" s="32" t="s">
        <v>71</v>
      </c>
      <c r="J16" s="32" t="s">
        <v>96</v>
      </c>
      <c r="K16" s="32" t="s">
        <v>97</v>
      </c>
    </row>
    <row r="17" spans="1:11" s="37" customFormat="1" ht="70.05" customHeight="1" x14ac:dyDescent="0.3">
      <c r="A17" s="31" t="s">
        <v>98</v>
      </c>
      <c r="B17" s="32" t="s">
        <v>30</v>
      </c>
      <c r="C17" s="36" t="s">
        <v>99</v>
      </c>
      <c r="D17" s="36" t="s">
        <v>206</v>
      </c>
      <c r="E17" s="18" t="s">
        <v>94</v>
      </c>
      <c r="F17" s="32">
        <v>5</v>
      </c>
      <c r="G17" s="36" t="s">
        <v>100</v>
      </c>
      <c r="H17" s="32" t="s">
        <v>71</v>
      </c>
      <c r="I17" s="32" t="s">
        <v>71</v>
      </c>
      <c r="J17" s="32" t="s">
        <v>96</v>
      </c>
      <c r="K17" s="32" t="s">
        <v>97</v>
      </c>
    </row>
    <row r="18" spans="1:11" s="37" customFormat="1" ht="70.05" customHeight="1" x14ac:dyDescent="0.3">
      <c r="A18" s="31" t="s">
        <v>101</v>
      </c>
      <c r="B18" s="32" t="s">
        <v>34</v>
      </c>
      <c r="C18" s="36" t="s">
        <v>102</v>
      </c>
      <c r="D18" s="36" t="s">
        <v>206</v>
      </c>
      <c r="E18" s="18" t="s">
        <v>94</v>
      </c>
      <c r="F18" s="32">
        <v>5</v>
      </c>
      <c r="G18" s="36" t="s">
        <v>103</v>
      </c>
      <c r="H18" s="32" t="s">
        <v>71</v>
      </c>
      <c r="I18" s="32" t="s">
        <v>71</v>
      </c>
      <c r="J18" s="32" t="s">
        <v>96</v>
      </c>
      <c r="K18" s="32" t="s">
        <v>97</v>
      </c>
    </row>
    <row r="19" spans="1:11" s="37" customFormat="1" ht="70.05" customHeight="1" x14ac:dyDescent="0.3">
      <c r="A19" s="31" t="s">
        <v>104</v>
      </c>
      <c r="B19" s="32" t="s">
        <v>38</v>
      </c>
      <c r="C19" s="36" t="s">
        <v>105</v>
      </c>
      <c r="D19" s="36" t="s">
        <v>206</v>
      </c>
      <c r="E19" s="18" t="s">
        <v>94</v>
      </c>
      <c r="F19" s="32">
        <v>3</v>
      </c>
      <c r="G19" s="36" t="s">
        <v>106</v>
      </c>
      <c r="H19" s="32" t="s">
        <v>71</v>
      </c>
      <c r="I19" s="32" t="s">
        <v>71</v>
      </c>
      <c r="J19" s="32" t="s">
        <v>107</v>
      </c>
      <c r="K19" s="32" t="s">
        <v>97</v>
      </c>
    </row>
    <row r="20" spans="1:11" s="37" customFormat="1" ht="70.05" customHeight="1" x14ac:dyDescent="0.3">
      <c r="A20" s="31" t="s">
        <v>108</v>
      </c>
      <c r="B20" s="32" t="s">
        <v>42</v>
      </c>
      <c r="C20" s="36" t="s">
        <v>109</v>
      </c>
      <c r="D20" s="36" t="s">
        <v>206</v>
      </c>
      <c r="E20" s="18" t="s">
        <v>94</v>
      </c>
      <c r="F20" s="32">
        <v>5</v>
      </c>
      <c r="G20" s="36" t="s">
        <v>110</v>
      </c>
      <c r="H20" s="32" t="s">
        <v>71</v>
      </c>
      <c r="I20" s="32" t="s">
        <v>71</v>
      </c>
      <c r="J20" s="32" t="s">
        <v>107</v>
      </c>
      <c r="K20" s="32" t="s">
        <v>97</v>
      </c>
    </row>
    <row r="21" spans="1:11" s="37" customFormat="1" ht="70.05" customHeight="1" x14ac:dyDescent="0.3">
      <c r="A21" s="31" t="s">
        <v>111</v>
      </c>
      <c r="B21" s="32" t="s">
        <v>46</v>
      </c>
      <c r="C21" s="36" t="s">
        <v>112</v>
      </c>
      <c r="D21" s="36" t="s">
        <v>208</v>
      </c>
      <c r="E21" s="18" t="s">
        <v>94</v>
      </c>
      <c r="F21" s="32">
        <v>5</v>
      </c>
      <c r="G21" s="36" t="s">
        <v>113</v>
      </c>
      <c r="H21" s="32" t="s">
        <v>71</v>
      </c>
      <c r="I21" s="32" t="s">
        <v>71</v>
      </c>
      <c r="J21" s="32" t="s">
        <v>114</v>
      </c>
      <c r="K21" s="32" t="s">
        <v>97</v>
      </c>
    </row>
    <row r="22" spans="1:11" s="37" customFormat="1" ht="70.05" customHeight="1" x14ac:dyDescent="0.3">
      <c r="A22" s="31" t="s">
        <v>115</v>
      </c>
      <c r="B22" s="32" t="s">
        <v>26</v>
      </c>
      <c r="C22" s="36" t="s">
        <v>116</v>
      </c>
      <c r="D22" s="36" t="s">
        <v>206</v>
      </c>
      <c r="E22" s="19" t="s">
        <v>117</v>
      </c>
      <c r="F22" s="32">
        <v>5</v>
      </c>
      <c r="G22" s="36" t="s">
        <v>118</v>
      </c>
      <c r="H22" s="32" t="s">
        <v>71</v>
      </c>
      <c r="I22" s="32" t="s">
        <v>71</v>
      </c>
      <c r="J22" s="33" t="s">
        <v>72</v>
      </c>
      <c r="K22" s="32" t="s">
        <v>97</v>
      </c>
    </row>
    <row r="23" spans="1:11" s="37" customFormat="1" ht="70.05" customHeight="1" x14ac:dyDescent="0.3">
      <c r="A23" s="31" t="s">
        <v>119</v>
      </c>
      <c r="B23" s="32" t="s">
        <v>30</v>
      </c>
      <c r="C23" s="36" t="s">
        <v>120</v>
      </c>
      <c r="D23" s="36" t="s">
        <v>206</v>
      </c>
      <c r="E23" s="19" t="s">
        <v>117</v>
      </c>
      <c r="F23" s="32">
        <v>8</v>
      </c>
      <c r="G23" s="36" t="s">
        <v>121</v>
      </c>
      <c r="H23" s="32" t="s">
        <v>71</v>
      </c>
      <c r="I23" s="32" t="s">
        <v>71</v>
      </c>
      <c r="J23" s="33" t="s">
        <v>96</v>
      </c>
      <c r="K23" s="32" t="s">
        <v>97</v>
      </c>
    </row>
    <row r="24" spans="1:11" s="37" customFormat="1" ht="70.05" customHeight="1" x14ac:dyDescent="0.3">
      <c r="A24" s="31" t="s">
        <v>122</v>
      </c>
      <c r="B24" s="32" t="s">
        <v>34</v>
      </c>
      <c r="C24" s="36" t="s">
        <v>123</v>
      </c>
      <c r="D24" s="36" t="s">
        <v>207</v>
      </c>
      <c r="E24" s="19" t="s">
        <v>117</v>
      </c>
      <c r="F24" s="32">
        <v>13</v>
      </c>
      <c r="G24" s="36" t="s">
        <v>124</v>
      </c>
      <c r="H24" s="32" t="s">
        <v>71</v>
      </c>
      <c r="I24" s="32" t="s">
        <v>71</v>
      </c>
      <c r="J24" s="33" t="s">
        <v>186</v>
      </c>
      <c r="K24" s="32" t="s">
        <v>97</v>
      </c>
    </row>
    <row r="25" spans="1:11" s="37" customFormat="1" ht="70.05" customHeight="1" x14ac:dyDescent="0.3">
      <c r="A25" s="31" t="s">
        <v>125</v>
      </c>
      <c r="B25" s="32" t="s">
        <v>42</v>
      </c>
      <c r="C25" s="36" t="s">
        <v>126</v>
      </c>
      <c r="D25" s="36" t="s">
        <v>206</v>
      </c>
      <c r="E25" s="19" t="s">
        <v>117</v>
      </c>
      <c r="F25" s="32">
        <v>8</v>
      </c>
      <c r="G25" s="36" t="s">
        <v>127</v>
      </c>
      <c r="H25" s="32" t="s">
        <v>71</v>
      </c>
      <c r="I25" s="32" t="s">
        <v>71</v>
      </c>
      <c r="J25" s="33" t="s">
        <v>107</v>
      </c>
      <c r="K25" s="32" t="s">
        <v>97</v>
      </c>
    </row>
    <row r="26" spans="1:11" s="37" customFormat="1" ht="70.05" customHeight="1" x14ac:dyDescent="0.3">
      <c r="A26" s="31" t="s">
        <v>128</v>
      </c>
      <c r="B26" s="32" t="s">
        <v>46</v>
      </c>
      <c r="C26" s="36" t="s">
        <v>129</v>
      </c>
      <c r="D26" s="36" t="s">
        <v>208</v>
      </c>
      <c r="E26" s="19" t="s">
        <v>117</v>
      </c>
      <c r="F26" s="32">
        <v>5</v>
      </c>
      <c r="G26" s="36" t="s">
        <v>130</v>
      </c>
      <c r="H26" s="32" t="s">
        <v>71</v>
      </c>
      <c r="I26" s="32" t="s">
        <v>71</v>
      </c>
      <c r="J26" s="33" t="s">
        <v>72</v>
      </c>
      <c r="K26" s="32" t="s">
        <v>97</v>
      </c>
    </row>
    <row r="27" spans="1:11" s="37" customFormat="1" ht="70.05" customHeight="1" x14ac:dyDescent="0.3">
      <c r="A27" s="31" t="s">
        <v>131</v>
      </c>
      <c r="B27" s="32" t="s">
        <v>26</v>
      </c>
      <c r="C27" s="36" t="s">
        <v>132</v>
      </c>
      <c r="D27" s="36" t="s">
        <v>209</v>
      </c>
      <c r="E27" s="20" t="s">
        <v>133</v>
      </c>
      <c r="F27" s="32">
        <v>13</v>
      </c>
      <c r="G27" s="36" t="s">
        <v>134</v>
      </c>
      <c r="H27" s="32" t="s">
        <v>71</v>
      </c>
      <c r="I27" s="32" t="s">
        <v>71</v>
      </c>
      <c r="J27" s="33" t="s">
        <v>186</v>
      </c>
      <c r="K27" s="32" t="s">
        <v>135</v>
      </c>
    </row>
    <row r="28" spans="1:11" s="37" customFormat="1" ht="70.05" customHeight="1" x14ac:dyDescent="0.3">
      <c r="A28" s="31" t="s">
        <v>136</v>
      </c>
      <c r="B28" s="32" t="s">
        <v>34</v>
      </c>
      <c r="C28" s="36" t="s">
        <v>137</v>
      </c>
      <c r="D28" s="36" t="s">
        <v>206</v>
      </c>
      <c r="E28" s="20" t="s">
        <v>133</v>
      </c>
      <c r="F28" s="32">
        <v>21</v>
      </c>
      <c r="G28" s="36" t="s">
        <v>138</v>
      </c>
      <c r="H28" s="32" t="s">
        <v>71</v>
      </c>
      <c r="I28" s="32" t="s">
        <v>71</v>
      </c>
      <c r="J28" s="33" t="s">
        <v>107</v>
      </c>
      <c r="K28" s="32" t="s">
        <v>135</v>
      </c>
    </row>
    <row r="29" spans="1:11" s="37" customFormat="1" ht="70.05" customHeight="1" x14ac:dyDescent="0.3">
      <c r="A29" s="31" t="s">
        <v>139</v>
      </c>
      <c r="B29" s="32" t="s">
        <v>38</v>
      </c>
      <c r="C29" s="36" t="s">
        <v>140</v>
      </c>
      <c r="D29" s="36" t="s">
        <v>206</v>
      </c>
      <c r="E29" s="20" t="s">
        <v>133</v>
      </c>
      <c r="F29" s="32">
        <v>13</v>
      </c>
      <c r="G29" s="36" t="s">
        <v>141</v>
      </c>
      <c r="H29" s="32" t="s">
        <v>71</v>
      </c>
      <c r="I29" s="32" t="s">
        <v>71</v>
      </c>
      <c r="J29" s="33" t="s">
        <v>107</v>
      </c>
      <c r="K29" s="32" t="s">
        <v>135</v>
      </c>
    </row>
    <row r="30" spans="1:11" s="37" customFormat="1" x14ac:dyDescent="0.3">
      <c r="A30" s="38" t="s">
        <v>142</v>
      </c>
      <c r="B30" s="35"/>
      <c r="C30" s="39"/>
      <c r="D30" s="39"/>
      <c r="E30" s="35"/>
      <c r="F30" s="34">
        <v>137</v>
      </c>
      <c r="G30" s="40" t="s">
        <v>143</v>
      </c>
      <c r="H30" s="39"/>
      <c r="I30" s="39"/>
      <c r="J30" s="39"/>
      <c r="K30" s="39"/>
    </row>
  </sheetData>
  <pageMargins left="0.75" right="0.75" top="1" bottom="1" header="0.5" footer="0.5"/>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F12"/>
  <sheetViews>
    <sheetView showGridLines="0" topLeftCell="A3" workbookViewId="0">
      <selection activeCell="E13" sqref="E13"/>
    </sheetView>
  </sheetViews>
  <sheetFormatPr baseColWidth="10" defaultColWidth="8.77734375" defaultRowHeight="14.4" x14ac:dyDescent="0.3"/>
  <cols>
    <col min="1" max="1" width="8" customWidth="1"/>
    <col min="2" max="3" width="30" customWidth="1"/>
    <col min="4" max="4" width="25" customWidth="1"/>
    <col min="5" max="5" width="32" customWidth="1"/>
    <col min="6" max="6" width="10" customWidth="1"/>
  </cols>
  <sheetData>
    <row r="1" spans="1:6" ht="23.4" x14ac:dyDescent="0.45">
      <c r="A1" s="11" t="s">
        <v>17</v>
      </c>
    </row>
    <row r="2" spans="1:6" x14ac:dyDescent="0.3">
      <c r="A2" s="9" t="s">
        <v>18</v>
      </c>
    </row>
    <row r="4" spans="1:6" x14ac:dyDescent="0.3">
      <c r="A4" s="3" t="s">
        <v>19</v>
      </c>
      <c r="B4" s="9" t="s">
        <v>20</v>
      </c>
      <c r="C4" s="9"/>
    </row>
    <row r="6" spans="1:6" x14ac:dyDescent="0.3">
      <c r="A6" s="12" t="s">
        <v>21</v>
      </c>
      <c r="B6" s="12" t="s">
        <v>22</v>
      </c>
      <c r="C6" s="12" t="s">
        <v>23</v>
      </c>
      <c r="D6" s="12" t="s">
        <v>24</v>
      </c>
      <c r="E6" s="12" t="s">
        <v>226</v>
      </c>
      <c r="F6" s="12" t="s">
        <v>25</v>
      </c>
    </row>
    <row r="7" spans="1:6" ht="41.4" x14ac:dyDescent="0.3">
      <c r="A7" s="13" t="s">
        <v>26</v>
      </c>
      <c r="B7" s="14" t="s">
        <v>215</v>
      </c>
      <c r="C7" s="14" t="s">
        <v>214</v>
      </c>
      <c r="D7" s="14" t="s">
        <v>220</v>
      </c>
      <c r="E7" s="14" t="s">
        <v>227</v>
      </c>
      <c r="F7" s="14">
        <v>13</v>
      </c>
    </row>
    <row r="8" spans="1:6" ht="41.4" x14ac:dyDescent="0.3">
      <c r="A8" s="13" t="s">
        <v>30</v>
      </c>
      <c r="B8" s="14" t="s">
        <v>216</v>
      </c>
      <c r="C8" s="14" t="s">
        <v>32</v>
      </c>
      <c r="D8" s="14" t="s">
        <v>221</v>
      </c>
      <c r="E8" s="14" t="s">
        <v>228</v>
      </c>
      <c r="F8" s="14">
        <v>18</v>
      </c>
    </row>
    <row r="9" spans="1:6" ht="55.2" x14ac:dyDescent="0.3">
      <c r="A9" s="13" t="s">
        <v>34</v>
      </c>
      <c r="B9" s="14" t="s">
        <v>213</v>
      </c>
      <c r="C9" s="14" t="s">
        <v>36</v>
      </c>
      <c r="D9" s="14" t="s">
        <v>222</v>
      </c>
      <c r="E9" s="14" t="s">
        <v>229</v>
      </c>
      <c r="F9" s="14">
        <v>47</v>
      </c>
    </row>
    <row r="10" spans="1:6" ht="55.2" x14ac:dyDescent="0.3">
      <c r="A10" s="13" t="s">
        <v>38</v>
      </c>
      <c r="B10" s="14" t="s">
        <v>217</v>
      </c>
      <c r="C10" s="14" t="s">
        <v>40</v>
      </c>
      <c r="D10" s="14" t="s">
        <v>223</v>
      </c>
      <c r="E10" s="14" t="s">
        <v>230</v>
      </c>
      <c r="F10" s="14">
        <v>22</v>
      </c>
    </row>
    <row r="11" spans="1:6" ht="41.4" x14ac:dyDescent="0.3">
      <c r="A11" s="13" t="s">
        <v>42</v>
      </c>
      <c r="B11" s="14" t="s">
        <v>218</v>
      </c>
      <c r="C11" s="14" t="s">
        <v>44</v>
      </c>
      <c r="D11" s="44" t="s">
        <v>224</v>
      </c>
      <c r="E11" s="44" t="s">
        <v>231</v>
      </c>
      <c r="F11" s="14">
        <v>35</v>
      </c>
    </row>
    <row r="12" spans="1:6" ht="82.8" x14ac:dyDescent="0.3">
      <c r="A12" s="13" t="s">
        <v>46</v>
      </c>
      <c r="B12" s="14" t="s">
        <v>219</v>
      </c>
      <c r="C12" s="14" t="s">
        <v>48</v>
      </c>
      <c r="D12" s="44" t="s">
        <v>225</v>
      </c>
      <c r="E12" s="44" t="s">
        <v>232</v>
      </c>
      <c r="F12" s="14">
        <v>15</v>
      </c>
    </row>
  </sheetData>
  <pageMargins left="0.75" right="0.75" top="1" bottom="1" header="0.5" footer="0.5"/>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L57"/>
  <sheetViews>
    <sheetView showGridLines="0" zoomScaleNormal="100" workbookViewId="0">
      <pane ySplit="9" topLeftCell="A45" activePane="bottomLeft" state="frozen"/>
      <selection pane="bottomLeft" activeCell="A50" sqref="A49:A57"/>
    </sheetView>
  </sheetViews>
  <sheetFormatPr baseColWidth="10" defaultColWidth="8.77734375" defaultRowHeight="14.4" x14ac:dyDescent="0.3"/>
  <cols>
    <col min="1" max="2" width="8" customWidth="1"/>
    <col min="3" max="3" width="38" customWidth="1"/>
    <col min="4" max="4" width="13" customWidth="1"/>
    <col min="5" max="5" width="9" style="24" customWidth="1"/>
    <col min="6" max="6" width="6" style="26" customWidth="1"/>
    <col min="7" max="7" width="35" customWidth="1"/>
    <col min="8" max="9" width="6" customWidth="1"/>
    <col min="10" max="10" width="8" customWidth="1"/>
    <col min="11" max="11" width="10" customWidth="1"/>
    <col min="12" max="12" width="14.21875" customWidth="1"/>
  </cols>
  <sheetData>
    <row r="1" spans="1:12" ht="23.4" x14ac:dyDescent="0.45">
      <c r="A1" s="11" t="s">
        <v>50</v>
      </c>
    </row>
    <row r="2" spans="1:12" x14ac:dyDescent="0.3">
      <c r="A2" s="9" t="s">
        <v>51</v>
      </c>
    </row>
    <row r="4" spans="1:12" x14ac:dyDescent="0.3">
      <c r="A4" s="3" t="s">
        <v>19</v>
      </c>
      <c r="B4" s="9" t="s">
        <v>52</v>
      </c>
    </row>
    <row r="5" spans="1:12" x14ac:dyDescent="0.3">
      <c r="A5" s="3" t="s">
        <v>53</v>
      </c>
      <c r="B5" s="9" t="s">
        <v>54</v>
      </c>
    </row>
    <row r="6" spans="1:12" x14ac:dyDescent="0.3">
      <c r="A6" s="15" t="s">
        <v>55</v>
      </c>
      <c r="B6" s="9" t="s">
        <v>56</v>
      </c>
    </row>
    <row r="7" spans="1:12" x14ac:dyDescent="0.3">
      <c r="A7" s="16" t="s">
        <v>57</v>
      </c>
      <c r="B7" s="9" t="s">
        <v>58</v>
      </c>
    </row>
    <row r="9" spans="1:12" ht="28.8" x14ac:dyDescent="0.3">
      <c r="A9" s="12" t="s">
        <v>21</v>
      </c>
      <c r="B9" s="12" t="s">
        <v>22</v>
      </c>
      <c r="C9" s="12" t="s">
        <v>59</v>
      </c>
      <c r="D9" s="12" t="s">
        <v>60</v>
      </c>
      <c r="E9" s="12" t="s">
        <v>61</v>
      </c>
      <c r="F9" s="12" t="s">
        <v>62</v>
      </c>
      <c r="G9" s="12" t="s">
        <v>63</v>
      </c>
      <c r="H9" s="12" t="s">
        <v>64</v>
      </c>
      <c r="I9" s="12" t="s">
        <v>65</v>
      </c>
      <c r="J9" s="12" t="s">
        <v>66</v>
      </c>
      <c r="K9" s="12" t="s">
        <v>14</v>
      </c>
      <c r="L9" s="12" t="s">
        <v>235</v>
      </c>
    </row>
    <row r="10" spans="1:12" s="37" customFormat="1" ht="70.05" customHeight="1" x14ac:dyDescent="0.3">
      <c r="A10" s="31" t="s">
        <v>67</v>
      </c>
      <c r="B10" s="32" t="s">
        <v>26</v>
      </c>
      <c r="C10" s="36" t="s">
        <v>68</v>
      </c>
      <c r="D10" s="36" t="s">
        <v>206</v>
      </c>
      <c r="E10" s="17" t="s">
        <v>69</v>
      </c>
      <c r="F10" s="32">
        <v>3</v>
      </c>
      <c r="G10" s="36" t="s">
        <v>70</v>
      </c>
      <c r="H10" s="32" t="s">
        <v>71</v>
      </c>
      <c r="I10" s="32" t="s">
        <v>71</v>
      </c>
      <c r="J10" s="32" t="s">
        <v>72</v>
      </c>
      <c r="K10" s="32" t="s">
        <v>73</v>
      </c>
      <c r="L10" s="32"/>
    </row>
    <row r="11" spans="1:12" s="37" customFormat="1" ht="70.05" customHeight="1" x14ac:dyDescent="0.3">
      <c r="A11" s="31" t="s">
        <v>74</v>
      </c>
      <c r="B11" s="32" t="s">
        <v>30</v>
      </c>
      <c r="C11" s="36" t="s">
        <v>75</v>
      </c>
      <c r="D11" s="36" t="s">
        <v>206</v>
      </c>
      <c r="E11" s="17" t="s">
        <v>69</v>
      </c>
      <c r="F11" s="32">
        <v>5</v>
      </c>
      <c r="G11" s="36" t="s">
        <v>76</v>
      </c>
      <c r="H11" s="32" t="s">
        <v>71</v>
      </c>
      <c r="I11" s="32" t="s">
        <v>71</v>
      </c>
      <c r="J11" s="32" t="s">
        <v>72</v>
      </c>
      <c r="K11" s="32" t="s">
        <v>73</v>
      </c>
      <c r="L11" s="32"/>
    </row>
    <row r="12" spans="1:12" s="37" customFormat="1" ht="70.05" customHeight="1" x14ac:dyDescent="0.3">
      <c r="A12" s="31" t="s">
        <v>77</v>
      </c>
      <c r="B12" s="32" t="s">
        <v>34</v>
      </c>
      <c r="C12" s="36" t="s">
        <v>233</v>
      </c>
      <c r="D12" s="36" t="s">
        <v>206</v>
      </c>
      <c r="E12" s="17" t="s">
        <v>69</v>
      </c>
      <c r="F12" s="32">
        <v>8</v>
      </c>
      <c r="G12" s="36" t="s">
        <v>79</v>
      </c>
      <c r="H12" s="32" t="s">
        <v>71</v>
      </c>
      <c r="I12" s="32" t="s">
        <v>71</v>
      </c>
      <c r="J12" s="32" t="s">
        <v>80</v>
      </c>
      <c r="K12" s="32" t="s">
        <v>73</v>
      </c>
      <c r="L12" s="33" t="s">
        <v>236</v>
      </c>
    </row>
    <row r="13" spans="1:12" s="37" customFormat="1" ht="70.05" customHeight="1" x14ac:dyDescent="0.3">
      <c r="A13" s="31" t="s">
        <v>81</v>
      </c>
      <c r="B13" s="32" t="s">
        <v>38</v>
      </c>
      <c r="C13" s="36" t="s">
        <v>82</v>
      </c>
      <c r="D13" s="36" t="s">
        <v>206</v>
      </c>
      <c r="E13" s="17" t="s">
        <v>69</v>
      </c>
      <c r="F13" s="32">
        <v>13</v>
      </c>
      <c r="G13" s="36" t="s">
        <v>83</v>
      </c>
      <c r="H13" s="32" t="s">
        <v>71</v>
      </c>
      <c r="I13" s="32" t="s">
        <v>71</v>
      </c>
      <c r="J13" s="32" t="s">
        <v>234</v>
      </c>
      <c r="K13" s="32" t="s">
        <v>73</v>
      </c>
      <c r="L13" s="32"/>
    </row>
    <row r="14" spans="1:12" s="37" customFormat="1" ht="70.05" customHeight="1" x14ac:dyDescent="0.3">
      <c r="A14" s="31" t="s">
        <v>85</v>
      </c>
      <c r="B14" s="32" t="s">
        <v>38</v>
      </c>
      <c r="C14" s="36" t="s">
        <v>86</v>
      </c>
      <c r="D14" s="36" t="s">
        <v>206</v>
      </c>
      <c r="E14" s="17" t="s">
        <v>69</v>
      </c>
      <c r="F14" s="32">
        <v>3</v>
      </c>
      <c r="G14" s="36" t="s">
        <v>87</v>
      </c>
      <c r="H14" s="32" t="s">
        <v>71</v>
      </c>
      <c r="I14" s="32" t="s">
        <v>71</v>
      </c>
      <c r="J14" s="32" t="s">
        <v>84</v>
      </c>
      <c r="K14" s="32" t="s">
        <v>73</v>
      </c>
      <c r="L14" s="32"/>
    </row>
    <row r="15" spans="1:12" s="37" customFormat="1" ht="70.05" customHeight="1" x14ac:dyDescent="0.3">
      <c r="A15" s="31" t="s">
        <v>88</v>
      </c>
      <c r="B15" s="32" t="s">
        <v>42</v>
      </c>
      <c r="C15" s="36" t="s">
        <v>89</v>
      </c>
      <c r="D15" s="36" t="s">
        <v>206</v>
      </c>
      <c r="E15" s="17" t="s">
        <v>69</v>
      </c>
      <c r="F15" s="32">
        <v>3</v>
      </c>
      <c r="G15" s="42" t="s">
        <v>90</v>
      </c>
      <c r="H15" s="32" t="s">
        <v>71</v>
      </c>
      <c r="I15" s="32" t="s">
        <v>71</v>
      </c>
      <c r="J15" s="32" t="s">
        <v>91</v>
      </c>
      <c r="K15" s="32" t="s">
        <v>73</v>
      </c>
      <c r="L15" s="32"/>
    </row>
    <row r="16" spans="1:12" s="37" customFormat="1" ht="70.05" customHeight="1" x14ac:dyDescent="0.3">
      <c r="A16" s="41" t="s">
        <v>237</v>
      </c>
      <c r="B16" s="33" t="s">
        <v>34</v>
      </c>
      <c r="C16" s="42" t="s">
        <v>238</v>
      </c>
      <c r="D16" s="42" t="s">
        <v>239</v>
      </c>
      <c r="E16" s="17" t="s">
        <v>69</v>
      </c>
      <c r="F16" s="32">
        <v>3</v>
      </c>
      <c r="G16" s="42" t="s">
        <v>240</v>
      </c>
      <c r="H16" s="32"/>
      <c r="I16" s="32"/>
      <c r="J16" s="32"/>
      <c r="K16" s="32"/>
      <c r="L16" s="32"/>
    </row>
    <row r="17" spans="1:12" s="37" customFormat="1" ht="70.05" customHeight="1" x14ac:dyDescent="0.3">
      <c r="A17" s="41" t="s">
        <v>241</v>
      </c>
      <c r="B17" s="33" t="s">
        <v>34</v>
      </c>
      <c r="C17" s="42" t="s">
        <v>242</v>
      </c>
      <c r="D17" s="42" t="s">
        <v>239</v>
      </c>
      <c r="E17" s="17" t="s">
        <v>69</v>
      </c>
      <c r="F17" s="32">
        <v>5</v>
      </c>
      <c r="G17" s="42" t="s">
        <v>243</v>
      </c>
      <c r="H17" s="32"/>
      <c r="I17" s="32"/>
      <c r="J17" s="32"/>
      <c r="K17" s="32"/>
      <c r="L17" s="32"/>
    </row>
    <row r="18" spans="1:12" s="37" customFormat="1" ht="70.05" customHeight="1" x14ac:dyDescent="0.3">
      <c r="A18" s="41" t="s">
        <v>244</v>
      </c>
      <c r="B18" s="33" t="s">
        <v>38</v>
      </c>
      <c r="C18" s="42" t="s">
        <v>249</v>
      </c>
      <c r="D18" s="42" t="s">
        <v>254</v>
      </c>
      <c r="E18" s="17" t="s">
        <v>69</v>
      </c>
      <c r="F18" s="32">
        <v>3</v>
      </c>
      <c r="G18" s="42" t="s">
        <v>258</v>
      </c>
      <c r="H18" s="32"/>
      <c r="I18" s="32"/>
      <c r="J18" s="32"/>
      <c r="K18" s="32"/>
      <c r="L18" s="32"/>
    </row>
    <row r="19" spans="1:12" s="37" customFormat="1" ht="70.05" customHeight="1" x14ac:dyDescent="0.3">
      <c r="A19" s="41" t="s">
        <v>245</v>
      </c>
      <c r="B19" s="33" t="s">
        <v>46</v>
      </c>
      <c r="C19" s="42" t="s">
        <v>250</v>
      </c>
      <c r="D19" s="42" t="s">
        <v>255</v>
      </c>
      <c r="E19" s="17" t="s">
        <v>69</v>
      </c>
      <c r="F19" s="32">
        <v>2</v>
      </c>
      <c r="G19" s="42" t="s">
        <v>259</v>
      </c>
      <c r="H19" s="32"/>
      <c r="I19" s="32"/>
      <c r="J19" s="32"/>
      <c r="K19" s="32"/>
      <c r="L19" s="32"/>
    </row>
    <row r="20" spans="1:12" s="37" customFormat="1" ht="70.05" customHeight="1" x14ac:dyDescent="0.3">
      <c r="A20" s="41" t="s">
        <v>246</v>
      </c>
      <c r="B20" s="33" t="s">
        <v>46</v>
      </c>
      <c r="C20" s="42" t="s">
        <v>251</v>
      </c>
      <c r="D20" s="42" t="s">
        <v>255</v>
      </c>
      <c r="E20" s="17" t="s">
        <v>69</v>
      </c>
      <c r="F20" s="32">
        <v>3</v>
      </c>
      <c r="G20" s="42" t="s">
        <v>260</v>
      </c>
      <c r="H20" s="32"/>
      <c r="I20" s="32"/>
      <c r="J20" s="32"/>
      <c r="K20" s="32"/>
      <c r="L20" s="32"/>
    </row>
    <row r="21" spans="1:12" s="37" customFormat="1" ht="70.05" customHeight="1" x14ac:dyDescent="0.3">
      <c r="A21" s="41" t="s">
        <v>247</v>
      </c>
      <c r="B21" s="33" t="s">
        <v>46</v>
      </c>
      <c r="C21" s="42" t="s">
        <v>252</v>
      </c>
      <c r="D21" s="42" t="s">
        <v>256</v>
      </c>
      <c r="E21" s="17" t="s">
        <v>69</v>
      </c>
      <c r="F21" s="32">
        <v>2</v>
      </c>
      <c r="G21" s="42" t="s">
        <v>261</v>
      </c>
      <c r="H21" s="32"/>
      <c r="I21" s="32"/>
      <c r="J21" s="32"/>
      <c r="K21" s="32"/>
      <c r="L21" s="32"/>
    </row>
    <row r="22" spans="1:12" s="37" customFormat="1" ht="70.05" customHeight="1" x14ac:dyDescent="0.3">
      <c r="A22" s="41" t="s">
        <v>248</v>
      </c>
      <c r="B22" s="33" t="s">
        <v>46</v>
      </c>
      <c r="C22" s="42" t="s">
        <v>253</v>
      </c>
      <c r="D22" s="42" t="s">
        <v>257</v>
      </c>
      <c r="E22" s="17" t="s">
        <v>69</v>
      </c>
      <c r="F22" s="32">
        <v>3</v>
      </c>
      <c r="G22" s="42" t="s">
        <v>262</v>
      </c>
      <c r="H22" s="32"/>
      <c r="I22" s="32"/>
      <c r="J22" s="32"/>
      <c r="K22" s="32"/>
      <c r="L22" s="32"/>
    </row>
    <row r="23" spans="1:12" s="37" customFormat="1" ht="70.05" customHeight="1" x14ac:dyDescent="0.3">
      <c r="A23" s="31" t="s">
        <v>92</v>
      </c>
      <c r="B23" s="32" t="s">
        <v>26</v>
      </c>
      <c r="C23" s="36" t="s">
        <v>93</v>
      </c>
      <c r="D23" s="36" t="s">
        <v>206</v>
      </c>
      <c r="E23" s="18" t="s">
        <v>94</v>
      </c>
      <c r="F23" s="32">
        <v>3</v>
      </c>
      <c r="G23" s="36" t="s">
        <v>95</v>
      </c>
      <c r="H23" s="32" t="s">
        <v>71</v>
      </c>
      <c r="I23" s="32" t="s">
        <v>71</v>
      </c>
      <c r="J23" s="32" t="s">
        <v>96</v>
      </c>
      <c r="K23" s="32" t="s">
        <v>97</v>
      </c>
      <c r="L23" s="32"/>
    </row>
    <row r="24" spans="1:12" s="37" customFormat="1" ht="70.05" customHeight="1" x14ac:dyDescent="0.3">
      <c r="A24" s="31" t="s">
        <v>98</v>
      </c>
      <c r="B24" s="32" t="s">
        <v>30</v>
      </c>
      <c r="C24" s="36" t="s">
        <v>99</v>
      </c>
      <c r="D24" s="36" t="s">
        <v>206</v>
      </c>
      <c r="E24" s="18" t="s">
        <v>94</v>
      </c>
      <c r="F24" s="32">
        <v>5</v>
      </c>
      <c r="G24" s="36" t="s">
        <v>100</v>
      </c>
      <c r="H24" s="32" t="s">
        <v>71</v>
      </c>
      <c r="I24" s="32" t="s">
        <v>71</v>
      </c>
      <c r="J24" s="32" t="s">
        <v>96</v>
      </c>
      <c r="K24" s="32" t="s">
        <v>97</v>
      </c>
      <c r="L24" s="32"/>
    </row>
    <row r="25" spans="1:12" s="37" customFormat="1" ht="70.05" customHeight="1" x14ac:dyDescent="0.3">
      <c r="A25" s="31" t="s">
        <v>101</v>
      </c>
      <c r="B25" s="32" t="s">
        <v>34</v>
      </c>
      <c r="C25" s="36" t="s">
        <v>102</v>
      </c>
      <c r="D25" s="36" t="s">
        <v>206</v>
      </c>
      <c r="E25" s="18" t="s">
        <v>94</v>
      </c>
      <c r="F25" s="32">
        <v>5</v>
      </c>
      <c r="G25" s="36" t="s">
        <v>103</v>
      </c>
      <c r="H25" s="32" t="s">
        <v>71</v>
      </c>
      <c r="I25" s="32" t="s">
        <v>71</v>
      </c>
      <c r="J25" s="32" t="s">
        <v>96</v>
      </c>
      <c r="K25" s="32" t="s">
        <v>97</v>
      </c>
      <c r="L25" s="32"/>
    </row>
    <row r="26" spans="1:12" s="37" customFormat="1" ht="70.05" customHeight="1" x14ac:dyDescent="0.3">
      <c r="A26" s="31" t="s">
        <v>104</v>
      </c>
      <c r="B26" s="32" t="s">
        <v>38</v>
      </c>
      <c r="C26" s="36" t="s">
        <v>105</v>
      </c>
      <c r="D26" s="36" t="s">
        <v>206</v>
      </c>
      <c r="E26" s="18" t="s">
        <v>94</v>
      </c>
      <c r="F26" s="32">
        <v>3</v>
      </c>
      <c r="G26" s="36" t="s">
        <v>106</v>
      </c>
      <c r="H26" s="32" t="s">
        <v>71</v>
      </c>
      <c r="I26" s="32" t="s">
        <v>71</v>
      </c>
      <c r="J26" s="32" t="s">
        <v>107</v>
      </c>
      <c r="K26" s="32" t="s">
        <v>97</v>
      </c>
      <c r="L26" s="32"/>
    </row>
    <row r="27" spans="1:12" s="37" customFormat="1" ht="70.05" customHeight="1" x14ac:dyDescent="0.3">
      <c r="A27" s="31" t="s">
        <v>108</v>
      </c>
      <c r="B27" s="32" t="s">
        <v>42</v>
      </c>
      <c r="C27" s="36" t="s">
        <v>109</v>
      </c>
      <c r="D27" s="36" t="s">
        <v>206</v>
      </c>
      <c r="E27" s="18" t="s">
        <v>94</v>
      </c>
      <c r="F27" s="32">
        <v>5</v>
      </c>
      <c r="G27" s="42" t="s">
        <v>110</v>
      </c>
      <c r="H27" s="32" t="s">
        <v>71</v>
      </c>
      <c r="I27" s="32" t="s">
        <v>71</v>
      </c>
      <c r="J27" s="32" t="s">
        <v>107</v>
      </c>
      <c r="K27" s="32" t="s">
        <v>97</v>
      </c>
      <c r="L27" s="32"/>
    </row>
    <row r="28" spans="1:12" s="37" customFormat="1" ht="70.05" customHeight="1" x14ac:dyDescent="0.3">
      <c r="A28" s="31" t="s">
        <v>111</v>
      </c>
      <c r="B28" s="32" t="s">
        <v>46</v>
      </c>
      <c r="C28" s="36" t="s">
        <v>112</v>
      </c>
      <c r="D28" s="36" t="s">
        <v>208</v>
      </c>
      <c r="E28" s="18" t="s">
        <v>94</v>
      </c>
      <c r="F28" s="32">
        <v>5</v>
      </c>
      <c r="G28" s="36" t="s">
        <v>113</v>
      </c>
      <c r="H28" s="32" t="s">
        <v>71</v>
      </c>
      <c r="I28" s="32" t="s">
        <v>71</v>
      </c>
      <c r="J28" s="32" t="s">
        <v>114</v>
      </c>
      <c r="K28" s="32" t="s">
        <v>97</v>
      </c>
      <c r="L28" s="32"/>
    </row>
    <row r="29" spans="1:12" s="37" customFormat="1" ht="70.05" customHeight="1" x14ac:dyDescent="0.3">
      <c r="A29" s="41" t="s">
        <v>263</v>
      </c>
      <c r="B29" s="33" t="s">
        <v>46</v>
      </c>
      <c r="C29" s="42" t="s">
        <v>265</v>
      </c>
      <c r="D29" s="42" t="s">
        <v>267</v>
      </c>
      <c r="E29" s="18" t="s">
        <v>94</v>
      </c>
      <c r="F29" s="32">
        <v>5</v>
      </c>
      <c r="G29" s="42" t="s">
        <v>268</v>
      </c>
      <c r="H29" s="32"/>
      <c r="I29" s="32"/>
      <c r="J29" s="32"/>
      <c r="K29" s="32"/>
      <c r="L29" s="32"/>
    </row>
    <row r="30" spans="1:12" s="37" customFormat="1" ht="70.05" customHeight="1" x14ac:dyDescent="0.3">
      <c r="A30" s="41" t="s">
        <v>264</v>
      </c>
      <c r="B30" s="33" t="s">
        <v>46</v>
      </c>
      <c r="C30" s="42" t="s">
        <v>266</v>
      </c>
      <c r="D30" s="42" t="s">
        <v>267</v>
      </c>
      <c r="E30" s="18" t="s">
        <v>94</v>
      </c>
      <c r="F30" s="32">
        <v>3</v>
      </c>
      <c r="G30" s="42" t="s">
        <v>269</v>
      </c>
      <c r="H30" s="32"/>
      <c r="I30" s="32"/>
      <c r="J30" s="32"/>
      <c r="K30" s="32"/>
      <c r="L30" s="32"/>
    </row>
    <row r="31" spans="1:12" s="37" customFormat="1" ht="70.05" customHeight="1" x14ac:dyDescent="0.3">
      <c r="A31" s="31" t="s">
        <v>115</v>
      </c>
      <c r="B31" s="32" t="s">
        <v>26</v>
      </c>
      <c r="C31" s="36" t="s">
        <v>116</v>
      </c>
      <c r="D31" s="36" t="s">
        <v>206</v>
      </c>
      <c r="E31" s="19" t="s">
        <v>117</v>
      </c>
      <c r="F31" s="32">
        <v>5</v>
      </c>
      <c r="G31" s="36" t="s">
        <v>118</v>
      </c>
      <c r="H31" s="32" t="s">
        <v>71</v>
      </c>
      <c r="I31" s="32" t="s">
        <v>71</v>
      </c>
      <c r="J31" s="33" t="s">
        <v>72</v>
      </c>
      <c r="K31" s="32" t="s">
        <v>97</v>
      </c>
      <c r="L31" s="32"/>
    </row>
    <row r="32" spans="1:12" s="37" customFormat="1" ht="70.05" customHeight="1" x14ac:dyDescent="0.3">
      <c r="A32" s="31" t="s">
        <v>119</v>
      </c>
      <c r="B32" s="32" t="s">
        <v>30</v>
      </c>
      <c r="C32" s="36" t="s">
        <v>120</v>
      </c>
      <c r="D32" s="36" t="s">
        <v>206</v>
      </c>
      <c r="E32" s="19" t="s">
        <v>117</v>
      </c>
      <c r="F32" s="32">
        <v>8</v>
      </c>
      <c r="G32" s="36" t="s">
        <v>121</v>
      </c>
      <c r="H32" s="32" t="s">
        <v>71</v>
      </c>
      <c r="I32" s="32" t="s">
        <v>71</v>
      </c>
      <c r="J32" s="33" t="s">
        <v>96</v>
      </c>
      <c r="K32" s="32" t="s">
        <v>97</v>
      </c>
      <c r="L32" s="32"/>
    </row>
    <row r="33" spans="1:12" s="37" customFormat="1" ht="70.05" customHeight="1" x14ac:dyDescent="0.3">
      <c r="A33" s="31" t="s">
        <v>122</v>
      </c>
      <c r="B33" s="32" t="s">
        <v>34</v>
      </c>
      <c r="C33" s="36" t="s">
        <v>123</v>
      </c>
      <c r="D33" s="36" t="s">
        <v>207</v>
      </c>
      <c r="E33" s="19" t="s">
        <v>117</v>
      </c>
      <c r="F33" s="32">
        <v>13</v>
      </c>
      <c r="G33" s="36" t="s">
        <v>124</v>
      </c>
      <c r="H33" s="32" t="s">
        <v>71</v>
      </c>
      <c r="I33" s="32" t="s">
        <v>71</v>
      </c>
      <c r="J33" s="33" t="s">
        <v>186</v>
      </c>
      <c r="K33" s="32" t="s">
        <v>97</v>
      </c>
      <c r="L33" s="32"/>
    </row>
    <row r="34" spans="1:12" s="37" customFormat="1" ht="70.05" customHeight="1" x14ac:dyDescent="0.3">
      <c r="A34" s="31" t="s">
        <v>125</v>
      </c>
      <c r="B34" s="32" t="s">
        <v>42</v>
      </c>
      <c r="C34" s="36" t="s">
        <v>126</v>
      </c>
      <c r="D34" s="36" t="s">
        <v>206</v>
      </c>
      <c r="E34" s="19" t="s">
        <v>117</v>
      </c>
      <c r="F34" s="32">
        <v>8</v>
      </c>
      <c r="G34" s="36" t="s">
        <v>127</v>
      </c>
      <c r="H34" s="32" t="s">
        <v>71</v>
      </c>
      <c r="I34" s="32" t="s">
        <v>71</v>
      </c>
      <c r="J34" s="33" t="s">
        <v>107</v>
      </c>
      <c r="K34" s="32" t="s">
        <v>97</v>
      </c>
      <c r="L34" s="32"/>
    </row>
    <row r="35" spans="1:12" s="37" customFormat="1" ht="70.05" customHeight="1" x14ac:dyDescent="0.3">
      <c r="A35" s="31" t="s">
        <v>128</v>
      </c>
      <c r="B35" s="32" t="s">
        <v>46</v>
      </c>
      <c r="C35" s="36" t="s">
        <v>129</v>
      </c>
      <c r="D35" s="36" t="s">
        <v>208</v>
      </c>
      <c r="E35" s="19" t="s">
        <v>117</v>
      </c>
      <c r="F35" s="32">
        <v>5</v>
      </c>
      <c r="G35" s="36" t="s">
        <v>130</v>
      </c>
      <c r="H35" s="32" t="s">
        <v>71</v>
      </c>
      <c r="I35" s="32" t="s">
        <v>71</v>
      </c>
      <c r="J35" s="33" t="s">
        <v>72</v>
      </c>
      <c r="K35" s="32" t="s">
        <v>97</v>
      </c>
      <c r="L35" s="32"/>
    </row>
    <row r="36" spans="1:12" s="37" customFormat="1" ht="70.05" customHeight="1" x14ac:dyDescent="0.3">
      <c r="A36" s="31" t="s">
        <v>131</v>
      </c>
      <c r="B36" s="32" t="s">
        <v>26</v>
      </c>
      <c r="C36" s="36" t="s">
        <v>132</v>
      </c>
      <c r="D36" s="36" t="s">
        <v>209</v>
      </c>
      <c r="E36" s="20" t="s">
        <v>133</v>
      </c>
      <c r="F36" s="32">
        <v>13</v>
      </c>
      <c r="G36" s="36" t="s">
        <v>134</v>
      </c>
      <c r="H36" s="32" t="s">
        <v>71</v>
      </c>
      <c r="I36" s="32" t="s">
        <v>71</v>
      </c>
      <c r="J36" s="33" t="s">
        <v>186</v>
      </c>
      <c r="K36" s="32" t="s">
        <v>135</v>
      </c>
      <c r="L36" s="32"/>
    </row>
    <row r="37" spans="1:12" s="37" customFormat="1" ht="70.05" customHeight="1" x14ac:dyDescent="0.3">
      <c r="A37" s="31" t="s">
        <v>136</v>
      </c>
      <c r="B37" s="32" t="s">
        <v>34</v>
      </c>
      <c r="C37" s="36" t="s">
        <v>137</v>
      </c>
      <c r="D37" s="36" t="s">
        <v>206</v>
      </c>
      <c r="E37" s="20" t="s">
        <v>133</v>
      </c>
      <c r="F37" s="32">
        <v>21</v>
      </c>
      <c r="G37" s="36" t="s">
        <v>138</v>
      </c>
      <c r="H37" s="32" t="s">
        <v>71</v>
      </c>
      <c r="I37" s="32" t="s">
        <v>71</v>
      </c>
      <c r="J37" s="33" t="s">
        <v>107</v>
      </c>
      <c r="K37" s="32" t="s">
        <v>135</v>
      </c>
      <c r="L37" s="32"/>
    </row>
    <row r="38" spans="1:12" s="37" customFormat="1" ht="70.05" customHeight="1" x14ac:dyDescent="0.3">
      <c r="A38" s="31" t="s">
        <v>139</v>
      </c>
      <c r="B38" s="32" t="s">
        <v>38</v>
      </c>
      <c r="C38" s="36" t="s">
        <v>140</v>
      </c>
      <c r="D38" s="36" t="s">
        <v>206</v>
      </c>
      <c r="E38" s="20" t="s">
        <v>133</v>
      </c>
      <c r="F38" s="32">
        <v>13</v>
      </c>
      <c r="G38" s="36" t="s">
        <v>141</v>
      </c>
      <c r="H38" s="32" t="s">
        <v>71</v>
      </c>
      <c r="I38" s="32" t="s">
        <v>71</v>
      </c>
      <c r="J38" s="33" t="s">
        <v>107</v>
      </c>
      <c r="K38" s="32" t="s">
        <v>135</v>
      </c>
      <c r="L38" s="32"/>
    </row>
    <row r="39" spans="1:12" s="37" customFormat="1" ht="70.05" customHeight="1" x14ac:dyDescent="0.3">
      <c r="A39" s="41" t="s">
        <v>187</v>
      </c>
      <c r="B39" s="33" t="s">
        <v>42</v>
      </c>
      <c r="C39" s="42" t="s">
        <v>189</v>
      </c>
      <c r="D39" s="36" t="s">
        <v>207</v>
      </c>
      <c r="E39" s="17" t="s">
        <v>69</v>
      </c>
      <c r="F39" s="33">
        <v>3</v>
      </c>
      <c r="G39" s="42" t="s">
        <v>191</v>
      </c>
      <c r="H39" s="32" t="s">
        <v>71</v>
      </c>
      <c r="I39" s="32" t="s">
        <v>71</v>
      </c>
      <c r="J39" s="32" t="s">
        <v>84</v>
      </c>
      <c r="K39" s="32" t="s">
        <v>73</v>
      </c>
      <c r="L39" s="32"/>
    </row>
    <row r="40" spans="1:12" s="37" customFormat="1" ht="70.05" customHeight="1" x14ac:dyDescent="0.3">
      <c r="A40" s="41" t="s">
        <v>188</v>
      </c>
      <c r="B40" s="33" t="s">
        <v>42</v>
      </c>
      <c r="C40" s="42" t="s">
        <v>190</v>
      </c>
      <c r="D40" s="36" t="s">
        <v>207</v>
      </c>
      <c r="E40" s="17" t="s">
        <v>69</v>
      </c>
      <c r="F40" s="33">
        <v>4</v>
      </c>
      <c r="G40" s="42" t="s">
        <v>192</v>
      </c>
      <c r="H40" s="32" t="s">
        <v>71</v>
      </c>
      <c r="I40" s="32" t="s">
        <v>71</v>
      </c>
      <c r="J40" s="32" t="s">
        <v>84</v>
      </c>
      <c r="K40" s="32" t="s">
        <v>73</v>
      </c>
      <c r="L40" s="32"/>
    </row>
    <row r="41" spans="1:12" s="37" customFormat="1" ht="70.05" customHeight="1" x14ac:dyDescent="0.3">
      <c r="A41" s="41" t="s">
        <v>193</v>
      </c>
      <c r="B41" s="33" t="s">
        <v>42</v>
      </c>
      <c r="C41" s="42" t="s">
        <v>197</v>
      </c>
      <c r="D41" s="36" t="s">
        <v>207</v>
      </c>
      <c r="E41" s="18" t="s">
        <v>94</v>
      </c>
      <c r="F41" s="33">
        <v>5</v>
      </c>
      <c r="G41" s="45" t="s">
        <v>202</v>
      </c>
      <c r="H41" s="32" t="s">
        <v>71</v>
      </c>
      <c r="I41" s="32" t="s">
        <v>71</v>
      </c>
      <c r="J41" s="33" t="s">
        <v>107</v>
      </c>
      <c r="K41" s="46" t="s">
        <v>97</v>
      </c>
      <c r="L41" s="46"/>
    </row>
    <row r="42" spans="1:12" s="37" customFormat="1" ht="70.05" customHeight="1" x14ac:dyDescent="0.3">
      <c r="A42" s="41" t="s">
        <v>194</v>
      </c>
      <c r="B42" s="33" t="s">
        <v>46</v>
      </c>
      <c r="C42" s="42" t="s">
        <v>200</v>
      </c>
      <c r="D42" s="36" t="s">
        <v>207</v>
      </c>
      <c r="E42" s="18" t="s">
        <v>94</v>
      </c>
      <c r="F42" s="33">
        <v>5</v>
      </c>
      <c r="G42" s="45" t="s">
        <v>204</v>
      </c>
      <c r="H42" s="32" t="s">
        <v>71</v>
      </c>
      <c r="I42" s="32" t="s">
        <v>71</v>
      </c>
      <c r="J42" s="33" t="s">
        <v>107</v>
      </c>
      <c r="K42" s="46" t="s">
        <v>97</v>
      </c>
      <c r="L42" s="46"/>
    </row>
    <row r="43" spans="1:12" s="37" customFormat="1" ht="70.05" customHeight="1" x14ac:dyDescent="0.3">
      <c r="A43" s="41" t="s">
        <v>195</v>
      </c>
      <c r="B43" s="33" t="s">
        <v>42</v>
      </c>
      <c r="C43" s="42" t="s">
        <v>198</v>
      </c>
      <c r="D43" s="36" t="s">
        <v>207</v>
      </c>
      <c r="E43" s="19" t="s">
        <v>117</v>
      </c>
      <c r="F43" s="33">
        <v>3</v>
      </c>
      <c r="G43" s="45" t="s">
        <v>205</v>
      </c>
      <c r="H43" s="32" t="s">
        <v>71</v>
      </c>
      <c r="I43" s="32" t="s">
        <v>71</v>
      </c>
      <c r="J43" s="33" t="s">
        <v>107</v>
      </c>
      <c r="K43" s="33" t="s">
        <v>97</v>
      </c>
      <c r="L43" s="33"/>
    </row>
    <row r="44" spans="1:12" s="37" customFormat="1" ht="70.05" customHeight="1" x14ac:dyDescent="0.3">
      <c r="A44" s="41" t="s">
        <v>196</v>
      </c>
      <c r="B44" s="33" t="s">
        <v>42</v>
      </c>
      <c r="C44" s="42" t="s">
        <v>199</v>
      </c>
      <c r="D44" s="36" t="s">
        <v>207</v>
      </c>
      <c r="E44" s="19" t="s">
        <v>117</v>
      </c>
      <c r="F44" s="33">
        <v>4</v>
      </c>
      <c r="G44" s="42" t="s">
        <v>203</v>
      </c>
      <c r="H44" s="32" t="s">
        <v>71</v>
      </c>
      <c r="I44" s="32" t="s">
        <v>71</v>
      </c>
      <c r="J44" s="33" t="s">
        <v>107</v>
      </c>
      <c r="K44" s="46" t="s">
        <v>97</v>
      </c>
      <c r="L44" s="46"/>
    </row>
    <row r="45" spans="1:12" s="37" customFormat="1" x14ac:dyDescent="0.3">
      <c r="A45" s="38" t="s">
        <v>142</v>
      </c>
      <c r="B45" s="35"/>
      <c r="C45" s="39"/>
      <c r="D45" s="39"/>
      <c r="E45" s="35"/>
      <c r="F45" s="34">
        <f>SUM(F10:F44)</f>
        <v>200</v>
      </c>
      <c r="G45" s="43" t="s">
        <v>201</v>
      </c>
      <c r="H45" s="39"/>
      <c r="I45" s="39"/>
      <c r="J45" s="39"/>
      <c r="K45" s="39"/>
      <c r="L45" s="39"/>
    </row>
    <row r="49" spans="1:1" ht="18" x14ac:dyDescent="0.3">
      <c r="A49" s="47" t="s">
        <v>235</v>
      </c>
    </row>
    <row r="51" spans="1:1" x14ac:dyDescent="0.3">
      <c r="A51" t="s">
        <v>270</v>
      </c>
    </row>
    <row r="53" spans="1:1" x14ac:dyDescent="0.3">
      <c r="A53" t="s">
        <v>271</v>
      </c>
    </row>
    <row r="55" spans="1:1" x14ac:dyDescent="0.3">
      <c r="A55" t="s">
        <v>272</v>
      </c>
    </row>
    <row r="57" spans="1:1" x14ac:dyDescent="0.3">
      <c r="A57" t="s">
        <v>273</v>
      </c>
    </row>
  </sheetData>
  <pageMargins left="0.75" right="0.75" top="1" bottom="1" header="0.5" footer="0.5"/>
  <pageSetup paperSize="9" orientation="portrait" r:id="rId1"/>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Feuil5"/>
  <dimension ref="A1:A28"/>
  <sheetViews>
    <sheetView showGridLines="0" workbookViewId="0">
      <selection activeCell="A7" sqref="A7"/>
    </sheetView>
  </sheetViews>
  <sheetFormatPr baseColWidth="10" defaultColWidth="8.77734375" defaultRowHeight="14.4" x14ac:dyDescent="0.3"/>
  <cols>
    <col min="1" max="1" width="95" customWidth="1"/>
  </cols>
  <sheetData>
    <row r="1" spans="1:1" ht="23.4" x14ac:dyDescent="0.45">
      <c r="A1" s="11" t="s">
        <v>144</v>
      </c>
    </row>
    <row r="2" spans="1:1" x14ac:dyDescent="0.3">
      <c r="A2" s="9" t="s">
        <v>145</v>
      </c>
    </row>
    <row r="4" spans="1:1" ht="18" x14ac:dyDescent="0.35">
      <c r="A4" s="21" t="s">
        <v>146</v>
      </c>
    </row>
    <row r="5" spans="1:1" x14ac:dyDescent="0.3">
      <c r="A5" s="9" t="s">
        <v>147</v>
      </c>
    </row>
    <row r="7" spans="1:1" x14ac:dyDescent="0.3">
      <c r="A7" s="22" t="s">
        <v>148</v>
      </c>
    </row>
    <row r="8" spans="1:1" x14ac:dyDescent="0.3">
      <c r="A8" s="22" t="s">
        <v>149</v>
      </c>
    </row>
    <row r="9" spans="1:1" x14ac:dyDescent="0.3">
      <c r="A9" s="22" t="s">
        <v>150</v>
      </c>
    </row>
    <row r="10" spans="1:1" x14ac:dyDescent="0.3">
      <c r="A10" s="22" t="s">
        <v>151</v>
      </c>
    </row>
    <row r="11" spans="1:1" x14ac:dyDescent="0.3">
      <c r="A11" s="22" t="s">
        <v>152</v>
      </c>
    </row>
    <row r="12" spans="1:1" x14ac:dyDescent="0.3">
      <c r="A12" s="22" t="s">
        <v>153</v>
      </c>
    </row>
    <row r="13" spans="1:1" x14ac:dyDescent="0.3">
      <c r="A13" s="22" t="s">
        <v>154</v>
      </c>
    </row>
    <row r="14" spans="1:1" x14ac:dyDescent="0.3">
      <c r="A14" s="22" t="s">
        <v>155</v>
      </c>
    </row>
    <row r="17" spans="1:1" ht="18" x14ac:dyDescent="0.35">
      <c r="A17" s="21" t="s">
        <v>156</v>
      </c>
    </row>
    <row r="18" spans="1:1" x14ac:dyDescent="0.3">
      <c r="A18" s="9" t="s">
        <v>157</v>
      </c>
    </row>
    <row r="20" spans="1:1" x14ac:dyDescent="0.3">
      <c r="A20" s="22" t="s">
        <v>158</v>
      </c>
    </row>
    <row r="21" spans="1:1" x14ac:dyDescent="0.3">
      <c r="A21" s="22" t="s">
        <v>159</v>
      </c>
    </row>
    <row r="22" spans="1:1" x14ac:dyDescent="0.3">
      <c r="A22" s="22" t="s">
        <v>160</v>
      </c>
    </row>
    <row r="23" spans="1:1" x14ac:dyDescent="0.3">
      <c r="A23" s="22" t="s">
        <v>161</v>
      </c>
    </row>
    <row r="24" spans="1:1" x14ac:dyDescent="0.3">
      <c r="A24" s="22" t="s">
        <v>162</v>
      </c>
    </row>
    <row r="25" spans="1:1" x14ac:dyDescent="0.3">
      <c r="A25" s="22" t="s">
        <v>163</v>
      </c>
    </row>
    <row r="26" spans="1:1" x14ac:dyDescent="0.3">
      <c r="A26" s="22" t="s">
        <v>164</v>
      </c>
    </row>
    <row r="27" spans="1:1" x14ac:dyDescent="0.3">
      <c r="A27" s="22" t="s">
        <v>165</v>
      </c>
    </row>
    <row r="28" spans="1:1" x14ac:dyDescent="0.3">
      <c r="A28" s="22" t="s">
        <v>166</v>
      </c>
    </row>
  </sheetData>
  <pageMargins left="0.75" right="0.75" top="1" bottom="1" header="0.5" footer="0.5"/>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Feuil6"/>
  <dimension ref="A2:D23"/>
  <sheetViews>
    <sheetView tabSelected="1" topLeftCell="A11" workbookViewId="0">
      <selection activeCell="C15" sqref="C15"/>
    </sheetView>
  </sheetViews>
  <sheetFormatPr baseColWidth="10" defaultColWidth="8.77734375" defaultRowHeight="14.4" x14ac:dyDescent="0.3"/>
  <cols>
    <col min="1" max="1" width="2" customWidth="1"/>
    <col min="2" max="2" width="50" customWidth="1"/>
    <col min="3" max="3" width="25" customWidth="1"/>
    <col min="4" max="4" width="40" customWidth="1"/>
  </cols>
  <sheetData>
    <row r="2" spans="1:4" ht="18" x14ac:dyDescent="0.35">
      <c r="B2" s="2" t="s">
        <v>167</v>
      </c>
    </row>
    <row r="3" spans="1:4" x14ac:dyDescent="0.3">
      <c r="B3" s="9" t="s">
        <v>168</v>
      </c>
    </row>
    <row r="5" spans="1:4" x14ac:dyDescent="0.3">
      <c r="A5" s="12"/>
      <c r="B5" s="12" t="s">
        <v>169</v>
      </c>
      <c r="C5" s="12" t="s">
        <v>170</v>
      </c>
      <c r="D5" t="s">
        <v>171</v>
      </c>
    </row>
    <row r="6" spans="1:4" ht="57.6" x14ac:dyDescent="0.3">
      <c r="B6" s="23" t="s">
        <v>172</v>
      </c>
      <c r="C6" s="24" t="s">
        <v>184</v>
      </c>
      <c r="D6" s="23" t="s">
        <v>283</v>
      </c>
    </row>
    <row r="7" spans="1:4" ht="43.2" x14ac:dyDescent="0.3">
      <c r="B7" s="23" t="s">
        <v>173</v>
      </c>
      <c r="C7" s="24" t="s">
        <v>184</v>
      </c>
      <c r="D7" s="23" t="s">
        <v>284</v>
      </c>
    </row>
    <row r="8" spans="1:4" ht="72" x14ac:dyDescent="0.3">
      <c r="B8" s="23" t="s">
        <v>174</v>
      </c>
      <c r="C8" s="24" t="s">
        <v>184</v>
      </c>
      <c r="D8" s="23" t="s">
        <v>285</v>
      </c>
    </row>
    <row r="9" spans="1:4" ht="72" x14ac:dyDescent="0.3">
      <c r="B9" s="23" t="s">
        <v>175</v>
      </c>
      <c r="C9" s="24" t="s">
        <v>184</v>
      </c>
      <c r="D9" s="23" t="s">
        <v>286</v>
      </c>
    </row>
    <row r="10" spans="1:4" ht="43.2" x14ac:dyDescent="0.3">
      <c r="B10" s="23" t="s">
        <v>176</v>
      </c>
      <c r="C10" s="24" t="s">
        <v>184</v>
      </c>
      <c r="D10" s="23" t="s">
        <v>287</v>
      </c>
    </row>
    <row r="11" spans="1:4" ht="43.2" x14ac:dyDescent="0.3">
      <c r="B11" s="23" t="s">
        <v>177</v>
      </c>
      <c r="C11" s="24" t="s">
        <v>184</v>
      </c>
      <c r="D11" s="23" t="s">
        <v>288</v>
      </c>
    </row>
    <row r="12" spans="1:4" ht="28.8" x14ac:dyDescent="0.3">
      <c r="B12" s="23" t="s">
        <v>178</v>
      </c>
      <c r="C12" s="24" t="s">
        <v>184</v>
      </c>
      <c r="D12" s="23" t="s">
        <v>289</v>
      </c>
    </row>
    <row r="13" spans="1:4" ht="43.2" x14ac:dyDescent="0.3">
      <c r="B13" s="23" t="s">
        <v>179</v>
      </c>
      <c r="C13" s="24" t="s">
        <v>185</v>
      </c>
      <c r="D13" s="23" t="s">
        <v>290</v>
      </c>
    </row>
    <row r="14" spans="1:4" ht="57.6" x14ac:dyDescent="0.3">
      <c r="B14" s="23" t="s">
        <v>180</v>
      </c>
      <c r="C14" s="24" t="s">
        <v>293</v>
      </c>
      <c r="D14" s="23" t="s">
        <v>291</v>
      </c>
    </row>
    <row r="15" spans="1:4" ht="57.6" x14ac:dyDescent="0.3">
      <c r="B15" s="23" t="s">
        <v>181</v>
      </c>
      <c r="C15" s="24" t="s">
        <v>185</v>
      </c>
      <c r="D15" s="23" t="s">
        <v>292</v>
      </c>
    </row>
    <row r="19" spans="2:3" ht="23.4" x14ac:dyDescent="0.3">
      <c r="B19" s="48" t="s">
        <v>274</v>
      </c>
      <c r="C19" s="49"/>
    </row>
    <row r="20" spans="2:3" ht="28.8" x14ac:dyDescent="0.3">
      <c r="B20" s="50" t="s">
        <v>275</v>
      </c>
      <c r="C20" s="50" t="s">
        <v>276</v>
      </c>
    </row>
    <row r="21" spans="2:3" ht="72" x14ac:dyDescent="0.3">
      <c r="B21" s="50" t="s">
        <v>277</v>
      </c>
      <c r="C21" s="50" t="s">
        <v>278</v>
      </c>
    </row>
    <row r="22" spans="2:3" ht="57.6" x14ac:dyDescent="0.3">
      <c r="B22" s="50" t="s">
        <v>279</v>
      </c>
      <c r="C22" s="50" t="s">
        <v>280</v>
      </c>
    </row>
    <row r="23" spans="2:3" ht="86.4" x14ac:dyDescent="0.3">
      <c r="B23" s="50" t="s">
        <v>281</v>
      </c>
      <c r="C23" s="50" t="s">
        <v>282</v>
      </c>
    </row>
  </sheetData>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Feuilles de calcul</vt:lpstr>
      </vt:variant>
      <vt:variant>
        <vt:i4>8</vt:i4>
      </vt:variant>
    </vt:vector>
  </HeadingPairs>
  <TitlesOfParts>
    <vt:vector size="8" baseType="lpstr">
      <vt:lpstr>Garde</vt:lpstr>
      <vt:lpstr>Identification</vt:lpstr>
      <vt:lpstr>Epics</vt:lpstr>
      <vt:lpstr>Backlog</vt:lpstr>
      <vt:lpstr>Epics-post-1j</vt:lpstr>
      <vt:lpstr>Backlog-post-1j</vt:lpstr>
      <vt:lpstr>DoR &amp; DoD</vt:lpstr>
      <vt:lpstr>Auto-évaluation</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hp</cp:lastModifiedBy>
  <dcterms:created xsi:type="dcterms:W3CDTF">2026-06-25T22:39:08Z</dcterms:created>
  <dcterms:modified xsi:type="dcterms:W3CDTF">2026-07-01T15:34:16Z</dcterms:modified>
</cp:coreProperties>
</file>